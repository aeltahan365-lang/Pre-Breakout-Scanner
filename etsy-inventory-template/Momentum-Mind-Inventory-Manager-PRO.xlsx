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Item Master" sheetId="3" state="visible" r:id="rId3"/>
    <sheet name="Log Transaction" sheetId="4" state="visible" r:id="rId4"/>
    <sheet name="Invoice Generator" sheetId="5" state="visible" r:id="rId5"/>
    <sheet name="Settings" sheetId="6" state="visible" r:id="rId6"/>
  </sheets>
  <definedNames>
    <definedName name="SKU_List">'Item Master'!$A$4:$A$53</definedName>
    <definedName name="TXN_List">'Log Transaction'!$B$4:$B$303</definedName>
    <definedName name="_xlnm.Print_Area" localSheetId="4">'Invoice Generator'!$A$4:$E$36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&quot;-&quot;"/>
    <numFmt numFmtId="165" formatCode="$#,##0.00;[Red]($#,##0.00);&quot;-&quot;"/>
    <numFmt numFmtId="166" formatCode="yyyy-mm-dd"/>
    <numFmt numFmtId="167" formatCode="dd-mmm-yyyy"/>
    <numFmt numFmtId="168" formatCode="0.0%"/>
  </numFmts>
  <fonts count="2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4F46E5"/>
      <sz val="9"/>
    </font>
    <font>
      <name val="Segoe UI"/>
      <b val="1"/>
      <color rgb="000F172A"/>
      <sz val="24"/>
    </font>
    <font>
      <name val="Segoe UI"/>
      <color rgb="0064748B"/>
      <sz val="10"/>
    </font>
    <font>
      <name val="Segoe UI"/>
      <b val="1"/>
      <color rgb="000F172A"/>
      <sz val="12"/>
    </font>
    <font>
      <name val="Segoe UI"/>
      <color rgb="00334155"/>
      <sz val="10"/>
    </font>
    <font>
      <name val="Segoe UI"/>
      <b val="1"/>
      <color rgb="004F46E5"/>
      <sz val="11"/>
    </font>
    <font>
      <name val="Segoe UI"/>
      <b val="1"/>
      <color rgb="000F172A"/>
      <sz val="10"/>
    </font>
    <font>
      <name val="Segoe UI"/>
      <b val="1"/>
      <color rgb="004F46E5"/>
      <sz val="10"/>
    </font>
    <font>
      <name val="Segoe UI"/>
      <i val="1"/>
      <color rgb="0064748B"/>
      <sz val="9"/>
    </font>
    <font>
      <name val="Segoe UI"/>
      <b val="1"/>
      <color rgb="000F172A"/>
      <sz val="22"/>
    </font>
    <font>
      <name val="Segoe UI"/>
      <b val="1"/>
      <color rgb="003730A3"/>
      <sz val="16"/>
    </font>
    <font>
      <name val="Segoe UI"/>
      <b val="1"/>
      <color rgb="00047857"/>
      <sz val="16"/>
    </font>
    <font>
      <name val="Segoe UI"/>
      <b val="1"/>
      <color rgb="00B91C1C"/>
      <sz val="16"/>
    </font>
    <font>
      <name val="Segoe UI"/>
      <b val="1"/>
      <color rgb="00FFFFFF"/>
      <sz val="10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color rgb="0064748B"/>
      <sz val="9"/>
    </font>
    <font>
      <name val="Segoe UI"/>
      <color rgb="000F172A"/>
      <sz val="11"/>
    </font>
    <font>
      <name val="Segoe UI"/>
      <b val="1"/>
      <color rgb="000F172A"/>
      <sz val="11"/>
    </font>
    <font>
      <name val="Segoe UI"/>
      <b val="1"/>
      <color rgb="000F172A"/>
      <sz val="20"/>
    </font>
    <font>
      <name val="Segoe UI"/>
      <b val="1"/>
      <color rgb="004F46E5"/>
      <sz val="26"/>
    </font>
    <font>
      <name val="Segoe UI"/>
      <b val="1"/>
      <color rgb="000F172A"/>
      <sz val="14"/>
    </font>
    <font>
      <name val="Segoe UI"/>
      <b val="1"/>
      <color rgb="004F46E5"/>
      <sz val="12"/>
    </font>
    <font>
      <name val="Segoe UI"/>
      <i val="1"/>
      <color rgb="0064748B"/>
      <sz val="11"/>
    </font>
    <font>
      <name val="Segoe UI"/>
      <color rgb="0064748B"/>
      <sz val="11"/>
    </font>
    <font>
      <name val="Segoe UI"/>
      <b val="1"/>
      <color rgb="00FFFFFF"/>
      <sz val="14"/>
    </font>
    <font>
      <name val="Segoe UI"/>
      <b val="1"/>
      <color rgb="00FFFFFF"/>
      <sz val="15"/>
    </font>
  </fonts>
  <fills count="10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0F172A"/>
      </patternFill>
    </fill>
    <fill>
      <patternFill patternType="solid">
        <fgColor rgb="004F46E5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ECFDF5"/>
      </patternFill>
    </fill>
    <fill>
      <patternFill patternType="solid">
        <fgColor rgb="00FEE2E2"/>
      </patternFill>
    </fill>
    <fill>
      <patternFill patternType="solid">
        <fgColor rgb="00FFF9DB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bottom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6" fillId="5" borderId="1" applyAlignment="1" pivotButton="0" quotePrefix="0" xfId="0">
      <alignment horizontal="left" vertical="top" wrapText="1" indent="1"/>
    </xf>
    <xf numFmtId="0" fontId="7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2" borderId="0" applyAlignment="1" pivotButton="0" quotePrefix="0" xfId="0">
      <alignment horizontal="left" vertical="bottom" indent="1"/>
    </xf>
    <xf numFmtId="0" fontId="11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top" indent="1"/>
    </xf>
    <xf numFmtId="164" fontId="12" fillId="6" borderId="1" applyAlignment="1" pivotButton="0" quotePrefix="0" xfId="0">
      <alignment horizontal="center" vertical="center"/>
    </xf>
    <xf numFmtId="0" fontId="0" fillId="6" borderId="1" pivotButton="0" quotePrefix="0" xfId="0"/>
    <xf numFmtId="165" fontId="13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1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5" fillId="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indent="1"/>
    </xf>
    <xf numFmtId="0" fontId="17" fillId="5" borderId="1" applyAlignment="1" pivotButton="0" quotePrefix="0" xfId="0">
      <alignment horizontal="left" vertical="center" indent="1"/>
    </xf>
    <xf numFmtId="164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left" vertical="center" indent="1"/>
    </xf>
    <xf numFmtId="165" fontId="17" fillId="9" borderId="1" applyAlignment="1" pivotButton="0" quotePrefix="0" xfId="0">
      <alignment horizontal="center" vertical="center"/>
    </xf>
    <xf numFmtId="164" fontId="17" fillId="9" borderId="1" applyAlignment="1" pivotButton="0" quotePrefix="0" xfId="0">
      <alignment horizontal="center" vertical="center"/>
    </xf>
    <xf numFmtId="49" fontId="17" fillId="9" borderId="1" applyAlignment="1" pivotButton="0" quotePrefix="0" xfId="0">
      <alignment horizontal="left" vertical="center" indent="1"/>
    </xf>
    <xf numFmtId="0" fontId="17" fillId="9" borderId="1" pivotButton="0" quotePrefix="0" xfId="0"/>
    <xf numFmtId="165" fontId="17" fillId="9" borderId="1" pivotButton="0" quotePrefix="0" xfId="0"/>
    <xf numFmtId="164" fontId="17" fillId="9" borderId="1" pivotButton="0" quotePrefix="0" xfId="0"/>
    <xf numFmtId="49" fontId="17" fillId="9" borderId="1" pivotButton="0" quotePrefix="0" xfId="0"/>
    <xf numFmtId="167" fontId="19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164" fontId="19" fillId="9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16" fillId="2" borderId="0" applyAlignment="1" pivotButton="0" quotePrefix="0" xfId="0">
      <alignment horizontal="right" vertical="center"/>
    </xf>
    <xf numFmtId="0" fontId="24" fillId="5" borderId="1" applyAlignment="1" pivotButton="0" quotePrefix="0" xfId="0">
      <alignment horizontal="center" vertical="center"/>
    </xf>
    <xf numFmtId="167" fontId="19" fillId="5" borderId="1" applyAlignment="1" pivotButton="0" quotePrefix="0" xfId="0">
      <alignment horizontal="center" vertical="center"/>
    </xf>
    <xf numFmtId="0" fontId="25" fillId="9" borderId="2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center" vertical="center"/>
    </xf>
    <xf numFmtId="164" fontId="17" fillId="5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165" fontId="20" fillId="5" borderId="1" applyAlignment="1" pivotButton="0" quotePrefix="0" xfId="0">
      <alignment horizontal="center" vertical="center"/>
    </xf>
    <xf numFmtId="168" fontId="26" fillId="5" borderId="1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27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8" fillId="4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19" fillId="9" borderId="2" applyAlignment="1" pivotButton="0" quotePrefix="0" xfId="0">
      <alignment horizontal="left" vertical="center" indent="1"/>
    </xf>
    <xf numFmtId="0" fontId="0" fillId="9" borderId="2" pivotButton="0" quotePrefix="0" xfId="0"/>
    <xf numFmtId="49" fontId="19" fillId="9" borderId="2" applyAlignment="1" pivotButton="0" quotePrefix="0" xfId="0">
      <alignment horizontal="left" vertical="center" indent="1"/>
    </xf>
    <xf numFmtId="168" fontId="19" fillId="9" borderId="2" applyAlignment="1" pivotButton="0" quotePrefix="0" xfId="0">
      <alignment horizontal="left" vertical="center" indent="1"/>
    </xf>
    <xf numFmtId="164" fontId="19" fillId="9" borderId="2" applyAlignment="1" pivotButton="0" quotePrefix="0" xfId="0">
      <alignment horizontal="left" vertical="center" indent="1"/>
    </xf>
  </cellXfs>
  <cellStyles count="1">
    <cellStyle name="Normal" xfId="0" builtinId="0" hidden="0"/>
  </cellStyles>
  <dxfs count="8">
    <dxf>
      <font>
        <name val="Segoe UI"/>
        <b val="1"/>
        <color rgb="00B91C1C"/>
        <sz val="10"/>
      </font>
      <fill>
        <patternFill patternType="solid">
          <fgColor rgb="00FEE2E2"/>
        </patternFill>
      </fill>
    </dxf>
    <dxf>
      <font>
        <name val="Segoe UI"/>
        <b val="1"/>
        <color rgb="00047857"/>
        <sz val="10"/>
      </font>
      <fill>
        <patternFill patternType="solid">
          <fgColor rgb="00ECFDF5"/>
        </patternFill>
      </fill>
    </dxf>
    <dxf>
      <font>
        <name val="Segoe UI"/>
        <b val="1"/>
        <color rgb="00B91C1C"/>
        <sz val="12"/>
      </font>
      <fill>
        <patternFill patternType="solid">
          <fgColor rgb="00FEE2E2"/>
        </patternFill>
      </fill>
    </dxf>
    <dxf>
      <font>
        <name val="Segoe UI"/>
        <b val="1"/>
        <color rgb="00FFFFFF"/>
        <sz val="10"/>
      </font>
      <fill>
        <patternFill patternType="solid">
          <fgColor rgb="0025D366"/>
        </patternFill>
      </fill>
    </dxf>
    <dxf>
      <font>
        <name val="Segoe UI"/>
        <b val="1"/>
        <color rgb="00FFFFFF"/>
        <sz val="10"/>
      </font>
      <fill>
        <patternFill patternType="solid">
          <fgColor rgb="004F46E5"/>
        </patternFill>
      </fill>
    </dxf>
    <dxf>
      <font>
        <name val="Segoe UI"/>
        <b val="1"/>
        <color rgb="00047857"/>
        <sz val="11"/>
      </font>
      <fill>
        <patternFill patternType="solid">
          <fgColor rgb="00ECFDF5"/>
        </patternFill>
      </fill>
    </dxf>
    <dxf>
      <font>
        <name val="Segoe UI"/>
        <b val="1"/>
        <color rgb="003730A3"/>
        <sz val="11"/>
      </font>
      <fill>
        <patternFill patternType="solid">
          <fgColor rgb="00EEF2FF"/>
        </patternFill>
      </fill>
    </dxf>
    <dxf>
      <font>
        <name val="Segoe UI"/>
        <b val="1"/>
        <color rgb="00B45309"/>
        <sz val="11"/>
      </font>
      <fill>
        <patternFill patternType="solid">
          <fgColor rgb="00FFF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Momentum Mind Store</author>
  </authors>
  <commentList>
    <comment ref="A7" authorId="0" shapeId="0">
      <text>
        <t>🏷️  ACTIVE SKUs</t>
      </text>
    </comment>
    <comment ref="C7" authorId="0" shapeId="0">
      <text>
        <t>📦  UNITS IN STOCK</t>
      </text>
    </comment>
    <comment ref="E7" authorId="0" shapeId="0">
      <text>
        <t>💰  STOCK VALUE (COST)</t>
      </text>
    </comment>
    <comment ref="G7" authorId="0" shapeId="0">
      <text>
        <t>⚠️  NEEDS REORDER</t>
      </text>
    </comment>
  </commentList>
</comments>
</file>

<file path=xl/comments/comment2.xml><?xml version="1.0" encoding="utf-8"?>
<comments xmlns="http://schemas.openxmlformats.org/spreadsheetml/2006/main">
  <authors>
    <author>Momentum Mind Store</author>
  </authors>
  <commentList>
    <comment ref="A3" authorId="0" shapeId="0">
      <text>
        <t>SKU must be UNIQUE — it is the key linking Products, Log and Dashboard.
Phone: digits only, country code first, no + or spaces (e.g. 15551234567).</t>
      </text>
    </comment>
  </commentList>
</comments>
</file>

<file path=xl/tables/table1.xml><?xml version="1.0" encoding="utf-8"?>
<table xmlns="http://schemas.openxmlformats.org/spreadsheetml/2006/main" id="1" name="tbl_Items" displayName="tbl_Items" ref="A3:J53" headerRowCount="1">
  <autoFilter ref="A3:J53"/>
  <tableColumns count="10">
    <tableColumn id="1" name="SKU"/>
    <tableColumn id="2" name="📦 Product Name"/>
    <tableColumn id="3" name="Category"/>
    <tableColumn id="4" name="Cost"/>
    <tableColumn id="5" name="Price"/>
    <tableColumn id="6" name="Max Stock"/>
    <tableColumn id="7" name="Reorder Point"/>
    <tableColumn id="8" name="Supplier Name"/>
    <tableColumn id="9" name="📞 Supp. Phone"/>
    <tableColumn id="10" name="✉️ Supp. Emai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_Log" displayName="tbl_Log" ref="A3:G303" headerRowCount="1">
  <autoFilter ref="A3:G303"/>
  <tableColumns count="7">
    <tableColumn id="1" name="📅 Date"/>
    <tableColumn id="2" name="🆔 ID"/>
    <tableColumn id="3" name="🏷️ SKU"/>
    <tableColumn id="4" name="🔄 Type"/>
    <tableColumn id="5" name="🔢 Qty"/>
    <tableColumn id="6" name="💵 Total"/>
    <tableColumn id="7" name="Line Key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3730A3"/>
    <outlinePr summaryBelow="1" summaryRight="1"/>
    <pageSetUpPr/>
  </sheetPr>
  <dimension ref="A1:G319"/>
  <sheetViews>
    <sheetView showGridLines="0" showRowColHeader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 ht="40" customHeight="1">
      <c r="A1" s="1">
        <f>HYPERLINK("#'Dashboard'!A1","🏠 Dashboard")</f>
        <v/>
      </c>
      <c r="C1" s="1">
        <f>HYPERLINK("#'Item Master'!A1","📦 Products")</f>
        <v/>
      </c>
      <c r="D1" s="1">
        <f>HYPERLINK("#'Log Transaction'!A1","✍️ Log Sale")</f>
        <v/>
      </c>
      <c r="E1" s="1">
        <f>HYPERLINK("#'Invoice Generator'!A1","🧾 Invoice")</f>
        <v/>
      </c>
      <c r="F1" s="1">
        <f>HYPERLINK("#'Start Here'!A1","🚀 Start Here")</f>
        <v/>
      </c>
    </row>
    <row r="2" ht="6" customHeight="1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 ht="20" customHeight="1">
      <c r="A4" s="3" t="n"/>
      <c r="B4" s="4" t="inlineStr">
        <is>
          <t>MOMENTUM MIND STORE</t>
        </is>
      </c>
      <c r="G4" s="3" t="n"/>
    </row>
    <row r="5" ht="38" customHeight="1">
      <c r="A5" s="3" t="n"/>
      <c r="B5" s="5" t="inlineStr">
        <is>
          <t>📦 Inventory Manager PRO</t>
        </is>
      </c>
      <c r="G5" s="3" t="n"/>
    </row>
    <row r="6" ht="22" customHeight="1">
      <c r="A6" s="3" t="n"/>
      <c r="B6" s="6" t="inlineStr">
        <is>
          <t>Track stock, log every sale, and send invoices — from your phone.</t>
        </is>
      </c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 ht="32" customHeight="1">
      <c r="A8" s="3" t="n"/>
      <c r="B8" s="7" t="inlineStr">
        <is>
          <t>📦  STEP 1 — Add your products</t>
        </is>
      </c>
      <c r="C8" s="8" t="n"/>
      <c r="D8" s="8" t="n"/>
      <c r="E8" s="8" t="n"/>
      <c r="F8" s="8" t="n"/>
      <c r="G8" s="3" t="n"/>
    </row>
    <row r="9" ht="46" customHeight="1">
      <c r="A9" s="3" t="n"/>
      <c r="B9" s="9" t="inlineStr">
        <is>
          <t>Open the Products screen and fill one row per item. SKU must be unique — it is the key that powers everything else.</t>
        </is>
      </c>
      <c r="C9" s="8" t="n"/>
      <c r="D9" s="8" t="n"/>
      <c r="E9" s="8" t="n"/>
      <c r="F9" s="8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 ht="32" customHeight="1">
      <c r="A11" s="3" t="n"/>
      <c r="B11" s="7" t="inlineStr">
        <is>
          <t>⚙️  STEP 2 — Set your business details</t>
        </is>
      </c>
      <c r="C11" s="8" t="n"/>
      <c r="D11" s="8" t="n"/>
      <c r="E11" s="8" t="n"/>
      <c r="F11" s="8" t="n"/>
      <c r="G11" s="3" t="n"/>
    </row>
    <row r="12" ht="46" customHeight="1">
      <c r="A12" s="3" t="n"/>
      <c r="B12" s="9" t="inlineStr">
        <is>
          <t>Open Settings and enter your shop name, contact details, tax rate and invoice prefix. Every invoice reads from there.</t>
        </is>
      </c>
      <c r="C12" s="8" t="n"/>
      <c r="D12" s="8" t="n"/>
      <c r="E12" s="8" t="n"/>
      <c r="F12" s="8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32" customHeight="1">
      <c r="A14" s="3" t="n"/>
      <c r="B14" s="7" t="inlineStr">
        <is>
          <t>✍️  STEP 3 — Log every movement</t>
        </is>
      </c>
      <c r="C14" s="8" t="n"/>
      <c r="D14" s="8" t="n"/>
      <c r="E14" s="8" t="n"/>
      <c r="F14" s="8" t="n"/>
      <c r="G14" s="3" t="n"/>
    </row>
    <row r="15" ht="46" customHeight="1">
      <c r="A15" s="3" t="n"/>
      <c r="B15" s="9" t="inlineStr">
        <is>
          <t>On the Log Sale screen, tap a new row. Pick the SKU from the dropdown, choose IN (stock received), OUT (sold) or SHRINKAGE (damaged/lost), and enter the quantity. The Total fills itself.</t>
        </is>
      </c>
      <c r="C15" s="8" t="n"/>
      <c r="D15" s="8" t="n"/>
      <c r="E15" s="8" t="n"/>
      <c r="F15" s="8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 ht="32" customHeight="1">
      <c r="A17" s="3" t="n"/>
      <c r="B17" s="7" t="inlineStr">
        <is>
          <t>🧾  STEP 4 — Generate an invoice</t>
        </is>
      </c>
      <c r="C17" s="8" t="n"/>
      <c r="D17" s="8" t="n"/>
      <c r="E17" s="8" t="n"/>
      <c r="F17" s="8" t="n"/>
      <c r="G17" s="3" t="n"/>
    </row>
    <row r="18" ht="46" customHeight="1">
      <c r="A18" s="3" t="n"/>
      <c r="B18" s="9" t="inlineStr">
        <is>
          <t>Type or pick a Transaction ID at the top of the Invoice screen. Every line for that ID appears instantly. Share ▸ Export as PDF.</t>
        </is>
      </c>
      <c r="C18" s="8" t="n"/>
      <c r="D18" s="8" t="n"/>
      <c r="E18" s="8" t="n"/>
      <c r="F18" s="8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 ht="32" customHeight="1">
      <c r="A20" s="3" t="n"/>
      <c r="B20" s="7" t="inlineStr">
        <is>
          <t>🏠  STEP 5 — Watch the Dashboard</t>
        </is>
      </c>
      <c r="C20" s="8" t="n"/>
      <c r="D20" s="8" t="n"/>
      <c r="E20" s="8" t="n"/>
      <c r="F20" s="8" t="n"/>
      <c r="G20" s="3" t="n"/>
    </row>
    <row r="21" ht="46" customHeight="1">
      <c r="A21" s="3" t="n"/>
      <c r="B21" s="9" t="inlineStr">
        <is>
          <t>Live stock levels, low-stock alerts, and one-tap WhatsApp / Email reorder buttons that write the message for you.</t>
        </is>
      </c>
      <c r="C21" s="8" t="n"/>
      <c r="D21" s="8" t="n"/>
      <c r="E21" s="8" t="n"/>
      <c r="F21" s="8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10" t="inlineStr">
        <is>
          <t>🎨 COLOUR KEY</t>
        </is>
      </c>
      <c r="G23" s="3" t="n"/>
    </row>
    <row r="24" ht="30" customHeight="1">
      <c r="A24" s="3" t="n"/>
      <c r="B24" s="11" t="inlineStr">
        <is>
          <t>🟡  Yellow cells</t>
        </is>
      </c>
      <c r="C24" s="12" t="inlineStr">
        <is>
          <t>You type here.</t>
        </is>
      </c>
      <c r="D24" s="8" t="n"/>
      <c r="E24" s="8" t="n"/>
      <c r="F24" s="8" t="n"/>
      <c r="G24" s="3" t="n"/>
    </row>
    <row r="25" ht="30" customHeight="1">
      <c r="A25" s="3" t="n"/>
      <c r="B25" s="11" t="inlineStr">
        <is>
          <t>⬜  White cells</t>
        </is>
      </c>
      <c r="C25" s="12" t="inlineStr">
        <is>
          <t>Calculated automatically — do not overwrite.</t>
        </is>
      </c>
      <c r="D25" s="8" t="n"/>
      <c r="E25" s="8" t="n"/>
      <c r="F25" s="8" t="n"/>
      <c r="G25" s="3" t="n"/>
    </row>
    <row r="26" ht="30" customHeight="1">
      <c r="A26" s="3" t="n"/>
      <c r="B26" s="11" t="inlineStr">
        <is>
          <t>🟦  Dark bar (top)</t>
        </is>
      </c>
      <c r="C26" s="12" t="inlineStr">
        <is>
          <t>Tap any label to jump between screens.</t>
        </is>
      </c>
      <c r="D26" s="8" t="n"/>
      <c r="E26" s="8" t="n"/>
      <c r="F26" s="8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10" t="inlineStr">
        <is>
          <t>💬 NEED HELP?</t>
        </is>
      </c>
      <c r="G28" s="3" t="n"/>
    </row>
    <row r="29" ht="30" customHeight="1">
      <c r="A29" s="3" t="n"/>
      <c r="B29" s="11" t="inlineStr">
        <is>
          <t>✉️  Support email</t>
        </is>
      </c>
      <c r="C29" s="13">
        <f>HYPERLINK("mailto:support@momentummindstore.com?subject=Inventory%20Manager%20PRO%20-%20Support","support@momentummindstore.com")</f>
        <v/>
      </c>
      <c r="D29" s="8" t="n"/>
      <c r="E29" s="8" t="n"/>
      <c r="F29" s="8" t="n"/>
      <c r="G29" s="3" t="n"/>
    </row>
    <row r="30" ht="30" customHeight="1">
      <c r="A30" s="3" t="n"/>
      <c r="B30" s="11" t="inlineStr">
        <is>
          <t>🛍️  Etsy shop</t>
        </is>
      </c>
      <c r="C30" s="13">
        <f>HYPERLINK("https://www.etsy.com/shop/MomentumMindStore","etsy.com/shop/MomentumMindStore")</f>
        <v/>
      </c>
      <c r="D30" s="8" t="n"/>
      <c r="E30" s="8" t="n"/>
      <c r="F30" s="8" t="n"/>
      <c r="G30" s="3" t="n"/>
    </row>
    <row r="31" ht="30" customHeight="1">
      <c r="A31" s="3" t="n"/>
      <c r="B31" s="11" t="inlineStr">
        <is>
          <t>📖  Video walkthrough</t>
        </is>
      </c>
      <c r="C31" s="13">
        <f>HYPERLINK("https://www.momentummindstore.com/inventory-pro-guide","Watch the 4-minute setup video")</f>
        <v/>
      </c>
      <c r="D31" s="8" t="n"/>
      <c r="E31" s="8" t="n"/>
      <c r="F31" s="8" t="n"/>
      <c r="G31" s="3" t="n"/>
    </row>
    <row r="32" ht="30" customHeight="1">
      <c r="A32" s="3" t="n"/>
      <c r="B32" s="11" t="inlineStr">
        <is>
          <t>⭐  Loved it?</t>
        </is>
      </c>
      <c r="C32" s="13">
        <f>HYPERLINK("https://www.etsy.com/your/purchases","Leave a review — it genuinely helps a small shop")</f>
        <v/>
      </c>
      <c r="D32" s="8" t="n"/>
      <c r="E32" s="8" t="n"/>
      <c r="F32" s="8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14" t="inlineStr">
        <is>
          <t>© Momentum Mind Store — single-shop licence. No resale or redistribution of this file.</t>
        </is>
      </c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</sheetData>
  <mergeCells count="25">
    <mergeCell ref="B4:F4"/>
    <mergeCell ref="A1:B1"/>
    <mergeCell ref="C32:F32"/>
    <mergeCell ref="B18:F18"/>
    <mergeCell ref="B21:F21"/>
    <mergeCell ref="B12:F12"/>
    <mergeCell ref="B11:F11"/>
    <mergeCell ref="C30:F30"/>
    <mergeCell ref="B23:F23"/>
    <mergeCell ref="B14:F14"/>
    <mergeCell ref="B8:F8"/>
    <mergeCell ref="C24:F24"/>
    <mergeCell ref="B17:F17"/>
    <mergeCell ref="B34:F34"/>
    <mergeCell ref="C26:F26"/>
    <mergeCell ref="B28:F28"/>
    <mergeCell ref="C29:F29"/>
    <mergeCell ref="C25:F25"/>
    <mergeCell ref="B9:F9"/>
    <mergeCell ref="C31:F31"/>
    <mergeCell ref="B6:F6"/>
    <mergeCell ref="B20:F20"/>
    <mergeCell ref="B15:F15"/>
    <mergeCell ref="B5:F5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I319"/>
  <sheetViews>
    <sheetView showGridLines="0" showRowColHeaders="0" tabSelected="0"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2" customWidth="1" min="4" max="4"/>
    <col width="14" customWidth="1" min="5" max="5"/>
    <col width="20" customWidth="1" min="6" max="6"/>
    <col width="18" customWidth="1" min="7" max="7"/>
    <col width="16" customWidth="1" min="8" max="8"/>
    <col hidden="1" width="14" customWidth="1" min="9" max="9"/>
  </cols>
  <sheetData>
    <row r="1" ht="40" customHeight="1">
      <c r="A1" s="1">
        <f>HYPERLINK("#'Dashboard'!A1","🏠 Dashboard")</f>
        <v/>
      </c>
      <c r="C1" s="1">
        <f>HYPERLINK("#'Item Master'!A1","📦 Products")</f>
        <v/>
      </c>
      <c r="E1" s="1">
        <f>HYPERLINK("#'Log Transaction'!A1","✍️ Log Sale")</f>
        <v/>
      </c>
      <c r="F1" s="1">
        <f>HYPERLINK("#'Invoice Generator'!A1","🧾 Invoice")</f>
        <v/>
      </c>
      <c r="G1" s="1">
        <f>HYPERLINK("#'Start Here'!A1","🚀 Start Here")</f>
        <v/>
      </c>
      <c r="I1" s="15" t="n"/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0" customHeight="1">
      <c r="A4" s="16" t="inlineStr">
        <is>
          <t>LIVE OVERVIEW</t>
        </is>
      </c>
      <c r="I4" s="3" t="n"/>
    </row>
    <row r="5" ht="34" customHeight="1">
      <c r="A5" s="17" t="inlineStr">
        <is>
          <t>🏠 Dashboard</t>
        </is>
      </c>
      <c r="I5" s="3" t="n"/>
    </row>
    <row r="6" ht="20" customHeight="1">
      <c r="A6" s="18" t="inlineStr">
        <is>
          <t>Stock recalculates the moment you log a transaction.</t>
        </is>
      </c>
      <c r="I6" s="3" t="n"/>
    </row>
    <row r="7" ht="46" customHeight="1">
      <c r="A7" s="19">
        <f>COUNTA('Item Master'!$A$4:$A$53)</f>
        <v/>
      </c>
      <c r="B7" s="20" t="n"/>
      <c r="C7" s="19">
        <f>SUM($E$9:$E$58)</f>
        <v/>
      </c>
      <c r="D7" s="20" t="n"/>
      <c r="E7" s="21">
        <f>SUM($I$9:$I$58)</f>
        <v/>
      </c>
      <c r="F7" s="22" t="n"/>
      <c r="G7" s="23">
        <f>COUNTIF($F$9:$F$58,"⚠️ REORDER NOW")</f>
        <v/>
      </c>
      <c r="H7" s="24" t="n"/>
      <c r="I7" s="3" t="n"/>
    </row>
    <row r="8" ht="36" customHeight="1">
      <c r="A8" s="25" t="inlineStr">
        <is>
          <t>SKU</t>
        </is>
      </c>
      <c r="B8" s="25" t="inlineStr">
        <is>
          <t>📦 Product</t>
        </is>
      </c>
      <c r="C8" s="25" t="inlineStr">
        <is>
          <t>⬇ Total IN</t>
        </is>
      </c>
      <c r="D8" s="25" t="inlineStr">
        <is>
          <t>⬆ Total OUT</t>
        </is>
      </c>
      <c r="E8" s="25" t="inlineStr">
        <is>
          <t>📊 Current Stock</t>
        </is>
      </c>
      <c r="F8" s="25" t="inlineStr">
        <is>
          <t>🚦 Stock Status</t>
        </is>
      </c>
      <c r="G8" s="25" t="inlineStr">
        <is>
          <t>💬 WhatsApp Order</t>
        </is>
      </c>
      <c r="H8" s="25" t="inlineStr">
        <is>
          <t>✉️ Email Order</t>
        </is>
      </c>
      <c r="I8" s="25" t="inlineStr">
        <is>
          <t>Value</t>
        </is>
      </c>
    </row>
    <row r="9" ht="32" customHeight="1">
      <c r="A9" s="26">
        <f>IF(INDEX('Item Master'!$A$4:$A$53,1)="","",INDEX('Item Master'!$A$4:$A$53,1))</f>
        <v/>
      </c>
      <c r="B9" s="27">
        <f>IF($A9="","",_xlfn.XLOOKUP($A9,'Item Master'!$A$4:$A$53,'Item Master'!$B$4:$B$53,""))</f>
        <v/>
      </c>
      <c r="C9" s="28">
        <f>IF($A9="","",SUMIFS('Log Transaction'!$E$4:$E$303,'Log Transaction'!$C$4:$C$303,$A9,'Log Transaction'!$D$4:$D$303,"IN"))</f>
        <v/>
      </c>
      <c r="D9" s="28">
        <f>IF($A9="","",SUMIFS('Log Transaction'!$E$4:$E$303,'Log Transaction'!$C$4:$C$303,$A9,'Log Transaction'!$D$4:$D$303,"OUT")+SUMIFS('Log Transaction'!$E$4:$E$303,'Log Transaction'!$C$4:$C$303,$A9,'Log Transaction'!$D$4:$D$303,"SHRINKAGE"))</f>
        <v/>
      </c>
      <c r="E9" s="29">
        <f>IF($A9="","",$C9-$D9)</f>
        <v/>
      </c>
      <c r="F9" s="30">
        <f>IF($A9="","",IF($E9&lt;=_xlfn.XLOOKUP($A9,'Item Master'!$A$4:$A$53,'Item Master'!$F$4:$F$53,0)*0.1,"⚠️ REORDER NOW","✅ IN STOCK"))</f>
        <v/>
      </c>
      <c r="G9" s="31">
        <f>IF($A9="","",IF($F9="⚠️ REORDER NOW",HYPERLINK("https://wa.me/"&amp;SUBSTITUTE(SUBSTITUTE(SUBSTITUTE(SUBSTITUTE(SUBSTITUTE(SUBSTITUTE(_xlfn.XLOOKUP($A9,'Item Master'!$A$4:$A$53,'Item Master'!$I$4:$I$53,""),"+",""),"-","")," ",""),"(",""),")",""),".","")&amp;"?text="&amp;SUBSTITUTE("Hello "&amp;_xlfn.XLOOKUP($A9,'Item Master'!$A$4:$A$53,'Item Master'!$H$4:$H$53,"Supplier")&amp;", we urgently need more "&amp;$B9&amp;". Current stock is only "&amp;TEXT($E9,"0")&amp;" units. Please confirm availability and your fastest lead time. Thank you - Momentum Mind Store."," ","%20"),"💬  ORDER NOW"),""))</f>
        <v/>
      </c>
      <c r="H9" s="31">
        <f>IF($A9="","",IF($F9="⚠️ REORDER NOW",HYPERLINK("mailto:"&amp;_xlfn.XLOOKUP($A9,'Item Master'!$A$4:$A$53,'Item Master'!$J$4:$J$53,"")&amp;"?subject="&amp;SUBSTITUTE("URGENT restock request - "&amp;$B9&amp;" ("&amp;$A9&amp;")"," ","%20")&amp;"&amp;body="&amp;SUBSTITUTE(SUBSTITUTE("Hello "&amp;_xlfn.XLOOKUP($A9,'Item Master'!$A$4:$A$53,'Item Master'!$H$4:$H$53,"Supplier")&amp;"," &amp; CHAR(10) &amp; "We urgently need to restock "&amp;$B9&amp;" (SKU "&amp;$A9&amp;"). Our current stock is "&amp;TEXT($E9,"0")&amp;"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9" s="32">
        <f>IF($A9="","",$E9*_xlfn.XLOOKUP($A9,'Item Master'!$A$4:$A$53,'Item Master'!$D$4:$D$53,0))</f>
        <v/>
      </c>
    </row>
    <row r="10" ht="32" customHeight="1">
      <c r="A10" s="26">
        <f>IF(INDEX('Item Master'!$A$4:$A$53,2)="","",INDEX('Item Master'!$A$4:$A$53,2))</f>
        <v/>
      </c>
      <c r="B10" s="27">
        <f>IF($A10="","",_xlfn.XLOOKUP($A10,'Item Master'!$A$4:$A$53,'Item Master'!$B$4:$B$53,""))</f>
        <v/>
      </c>
      <c r="C10" s="28">
        <f>IF($A10="","",SUMIFS('Log Transaction'!$E$4:$E$303,'Log Transaction'!$C$4:$C$303,$A10,'Log Transaction'!$D$4:$D$303,"IN"))</f>
        <v/>
      </c>
      <c r="D10" s="28">
        <f>IF($A10="","",SUMIFS('Log Transaction'!$E$4:$E$303,'Log Transaction'!$C$4:$C$303,$A10,'Log Transaction'!$D$4:$D$303,"OUT")+SUMIFS('Log Transaction'!$E$4:$E$303,'Log Transaction'!$C$4:$C$303,$A10,'Log Transaction'!$D$4:$D$303,"SHRINKAGE"))</f>
        <v/>
      </c>
      <c r="E10" s="29">
        <f>IF($A10="","",$C10-$D10)</f>
        <v/>
      </c>
      <c r="F10" s="30">
        <f>IF($A10="","",IF($E10&lt;=_xlfn.XLOOKUP($A10,'Item Master'!$A$4:$A$53,'Item Master'!$F$4:$F$53,0)*0.1,"⚠️ REORDER NOW","✅ IN STOCK"))</f>
        <v/>
      </c>
      <c r="G10" s="31">
        <f>IF($A10="","",IF($F10="⚠️ REORDER NOW",HYPERLINK("https://wa.me/"&amp;SUBSTITUTE(SUBSTITUTE(SUBSTITUTE(SUBSTITUTE(SUBSTITUTE(SUBSTITUTE(_xlfn.XLOOKUP($A10,'Item Master'!$A$4:$A$53,'Item Master'!$I$4:$I$53,""),"+",""),"-","")," ",""),"(",""),")",""),".","")&amp;"?text="&amp;SUBSTITUTE("Hello "&amp;_xlfn.XLOOKUP($A10,'Item Master'!$A$4:$A$53,'Item Master'!$H$4:$H$53,"Supplier")&amp;", we urgently need more "&amp;$B10&amp;". Current stock is only "&amp;TEXT($E10,"0")&amp;" units. Please confirm availability and your fastest lead time. Thank you - Momentum Mind Store."," ","%20"),"💬  ORDER NOW"),""))</f>
        <v/>
      </c>
      <c r="H10" s="31">
        <f>IF($A10="","",IF($F10="⚠️ REORDER NOW",HYPERLINK("mailto:"&amp;_xlfn.XLOOKUP($A10,'Item Master'!$A$4:$A$53,'Item Master'!$J$4:$J$53,"")&amp;"?subject="&amp;SUBSTITUTE("URGENT restock request - "&amp;$B10&amp;" ("&amp;$A10&amp;")"," ","%20")&amp;"&amp;body="&amp;SUBSTITUTE(SUBSTITUTE("Hello "&amp;_xlfn.XLOOKUP($A10,'Item Master'!$A$4:$A$53,'Item Master'!$H$4:$H$53,"Supplier")&amp;"," &amp; CHAR(10) &amp; "We urgently need to restock "&amp;$B10&amp;" (SKU "&amp;$A10&amp;"). Our current stock is "&amp;TEXT($E10,"0")&amp;"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0" s="32">
        <f>IF($A10="","",$E10*_xlfn.XLOOKUP($A10,'Item Master'!$A$4:$A$53,'Item Master'!$D$4:$D$53,0))</f>
        <v/>
      </c>
    </row>
    <row r="11" ht="32" customHeight="1">
      <c r="A11" s="26">
        <f>IF(INDEX('Item Master'!$A$4:$A$53,3)="","",INDEX('Item Master'!$A$4:$A$53,3))</f>
        <v/>
      </c>
      <c r="B11" s="27">
        <f>IF($A11="","",_xlfn.XLOOKUP($A11,'Item Master'!$A$4:$A$53,'Item Master'!$B$4:$B$53,""))</f>
        <v/>
      </c>
      <c r="C11" s="28">
        <f>IF($A11="","",SUMIFS('Log Transaction'!$E$4:$E$303,'Log Transaction'!$C$4:$C$303,$A11,'Log Transaction'!$D$4:$D$303,"IN"))</f>
        <v/>
      </c>
      <c r="D11" s="28">
        <f>IF($A11="","",SUMIFS('Log Transaction'!$E$4:$E$303,'Log Transaction'!$C$4:$C$303,$A11,'Log Transaction'!$D$4:$D$303,"OUT")+SUMIFS('Log Transaction'!$E$4:$E$303,'Log Transaction'!$C$4:$C$303,$A11,'Log Transaction'!$D$4:$D$303,"SHRINKAGE"))</f>
        <v/>
      </c>
      <c r="E11" s="29">
        <f>IF($A11="","",$C11-$D11)</f>
        <v/>
      </c>
      <c r="F11" s="30">
        <f>IF($A11="","",IF($E11&lt;=_xlfn.XLOOKUP($A11,'Item Master'!$A$4:$A$53,'Item Master'!$F$4:$F$53,0)*0.1,"⚠️ REORDER NOW","✅ IN STOCK"))</f>
        <v/>
      </c>
      <c r="G11" s="31">
        <f>IF($A11="","",IF($F11="⚠️ REORDER NOW",HYPERLINK("https://wa.me/"&amp;SUBSTITUTE(SUBSTITUTE(SUBSTITUTE(SUBSTITUTE(SUBSTITUTE(SUBSTITUTE(_xlfn.XLOOKUP($A11,'Item Master'!$A$4:$A$53,'Item Master'!$I$4:$I$53,""),"+",""),"-","")," ",""),"(",""),")",""),".","")&amp;"?text="&amp;SUBSTITUTE("Hello "&amp;_xlfn.XLOOKUP($A11,'Item Master'!$A$4:$A$53,'Item Master'!$H$4:$H$53,"Supplier")&amp;", we urgently need more "&amp;$B11&amp;". Current stock is only "&amp;TEXT($E11,"0")&amp;" units. Please confirm availability and your fastest lead time. Thank you - Momentum Mind Store."," ","%20"),"💬  ORDER NOW"),""))</f>
        <v/>
      </c>
      <c r="H11" s="31">
        <f>IF($A11="","",IF($F11="⚠️ REORDER NOW",HYPERLINK("mailto:"&amp;_xlfn.XLOOKUP($A11,'Item Master'!$A$4:$A$53,'Item Master'!$J$4:$J$53,"")&amp;"?subject="&amp;SUBSTITUTE("URGENT restock request - "&amp;$B11&amp;" ("&amp;$A11&amp;")"," ","%20")&amp;"&amp;body="&amp;SUBSTITUTE(SUBSTITUTE("Hello "&amp;_xlfn.XLOOKUP($A11,'Item Master'!$A$4:$A$53,'Item Master'!$H$4:$H$53,"Supplier")&amp;"," &amp; CHAR(10) &amp; "We urgently need to restock "&amp;$B11&amp;" (SKU "&amp;$A11&amp;"). Our current stock is "&amp;TEXT($E11,"0")&amp;"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1" s="32">
        <f>IF($A11="","",$E11*_xlfn.XLOOKUP($A11,'Item Master'!$A$4:$A$53,'Item Master'!$D$4:$D$53,0))</f>
        <v/>
      </c>
    </row>
    <row r="12" ht="32" customHeight="1">
      <c r="A12" s="26">
        <f>IF(INDEX('Item Master'!$A$4:$A$53,4)="","",INDEX('Item Master'!$A$4:$A$53,4))</f>
        <v/>
      </c>
      <c r="B12" s="27">
        <f>IF($A12="","",_xlfn.XLOOKUP($A12,'Item Master'!$A$4:$A$53,'Item Master'!$B$4:$B$53,""))</f>
        <v/>
      </c>
      <c r="C12" s="28">
        <f>IF($A12="","",SUMIFS('Log Transaction'!$E$4:$E$303,'Log Transaction'!$C$4:$C$303,$A12,'Log Transaction'!$D$4:$D$303,"IN"))</f>
        <v/>
      </c>
      <c r="D12" s="28">
        <f>IF($A12="","",SUMIFS('Log Transaction'!$E$4:$E$303,'Log Transaction'!$C$4:$C$303,$A12,'Log Transaction'!$D$4:$D$303,"OUT")+SUMIFS('Log Transaction'!$E$4:$E$303,'Log Transaction'!$C$4:$C$303,$A12,'Log Transaction'!$D$4:$D$303,"SHRINKAGE"))</f>
        <v/>
      </c>
      <c r="E12" s="29">
        <f>IF($A12="","",$C12-$D12)</f>
        <v/>
      </c>
      <c r="F12" s="30">
        <f>IF($A12="","",IF($E12&lt;=_xlfn.XLOOKUP($A12,'Item Master'!$A$4:$A$53,'Item Master'!$F$4:$F$53,0)*0.1,"⚠️ REORDER NOW","✅ IN STOCK"))</f>
        <v/>
      </c>
      <c r="G12" s="31">
        <f>IF($A12="","",IF($F12="⚠️ REORDER NOW",HYPERLINK("https://wa.me/"&amp;SUBSTITUTE(SUBSTITUTE(SUBSTITUTE(SUBSTITUTE(SUBSTITUTE(SUBSTITUTE(_xlfn.XLOOKUP($A12,'Item Master'!$A$4:$A$53,'Item Master'!$I$4:$I$53,""),"+",""),"-","")," ",""),"(",""),")",""),".","")&amp;"?text="&amp;SUBSTITUTE("Hello "&amp;_xlfn.XLOOKUP($A12,'Item Master'!$A$4:$A$53,'Item Master'!$H$4:$H$53,"Supplier")&amp;", we urgently need more "&amp;$B12&amp;". Current stock is only "&amp;TEXT($E12,"0")&amp;" units. Please confirm availability and your fastest lead time. Thank you - Momentum Mind Store."," ","%20"),"💬  ORDER NOW"),""))</f>
        <v/>
      </c>
      <c r="H12" s="31">
        <f>IF($A12="","",IF($F12="⚠️ REORDER NOW",HYPERLINK("mailto:"&amp;_xlfn.XLOOKUP($A12,'Item Master'!$A$4:$A$53,'Item Master'!$J$4:$J$53,"")&amp;"?subject="&amp;SUBSTITUTE("URGENT restock request - "&amp;$B12&amp;" ("&amp;$A12&amp;")"," ","%20")&amp;"&amp;body="&amp;SUBSTITUTE(SUBSTITUTE("Hello "&amp;_xlfn.XLOOKUP($A12,'Item Master'!$A$4:$A$53,'Item Master'!$H$4:$H$53,"Supplier")&amp;"," &amp; CHAR(10) &amp; "We urgently need to restock "&amp;$B12&amp;" (SKU "&amp;$A12&amp;"). Our current stock is "&amp;TEXT($E12,"0")&amp;"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2" s="32">
        <f>IF($A12="","",$E12*_xlfn.XLOOKUP($A12,'Item Master'!$A$4:$A$53,'Item Master'!$D$4:$D$53,0))</f>
        <v/>
      </c>
    </row>
    <row r="13" ht="32" customHeight="1">
      <c r="A13" s="26">
        <f>IF(INDEX('Item Master'!$A$4:$A$53,5)="","",INDEX('Item Master'!$A$4:$A$53,5))</f>
        <v/>
      </c>
      <c r="B13" s="27">
        <f>IF($A13="","",_xlfn.XLOOKUP($A13,'Item Master'!$A$4:$A$53,'Item Master'!$B$4:$B$53,""))</f>
        <v/>
      </c>
      <c r="C13" s="28">
        <f>IF($A13="","",SUMIFS('Log Transaction'!$E$4:$E$303,'Log Transaction'!$C$4:$C$303,$A13,'Log Transaction'!$D$4:$D$303,"IN"))</f>
        <v/>
      </c>
      <c r="D13" s="28">
        <f>IF($A13="","",SUMIFS('Log Transaction'!$E$4:$E$303,'Log Transaction'!$C$4:$C$303,$A13,'Log Transaction'!$D$4:$D$303,"OUT")+SUMIFS('Log Transaction'!$E$4:$E$303,'Log Transaction'!$C$4:$C$303,$A13,'Log Transaction'!$D$4:$D$303,"SHRINKAGE"))</f>
        <v/>
      </c>
      <c r="E13" s="29">
        <f>IF($A13="","",$C13-$D13)</f>
        <v/>
      </c>
      <c r="F13" s="30">
        <f>IF($A13="","",IF($E13&lt;=_xlfn.XLOOKUP($A13,'Item Master'!$A$4:$A$53,'Item Master'!$F$4:$F$53,0)*0.1,"⚠️ REORDER NOW","✅ IN STOCK"))</f>
        <v/>
      </c>
      <c r="G13" s="31">
        <f>IF($A13="","",IF($F13="⚠️ REORDER NOW",HYPERLINK("https://wa.me/"&amp;SUBSTITUTE(SUBSTITUTE(SUBSTITUTE(SUBSTITUTE(SUBSTITUTE(SUBSTITUTE(_xlfn.XLOOKUP($A13,'Item Master'!$A$4:$A$53,'Item Master'!$I$4:$I$53,""),"+",""),"-","")," ",""),"(",""),")",""),".","")&amp;"?text="&amp;SUBSTITUTE("Hello "&amp;_xlfn.XLOOKUP($A13,'Item Master'!$A$4:$A$53,'Item Master'!$H$4:$H$53,"Supplier")&amp;", we urgently need more "&amp;$B13&amp;". Current stock is only "&amp;TEXT($E13,"0")&amp;" units. Please confirm availability and your fastest lead time. Thank you - Momentum Mind Store."," ","%20"),"💬  ORDER NOW"),""))</f>
        <v/>
      </c>
      <c r="H13" s="31">
        <f>IF($A13="","",IF($F13="⚠️ REORDER NOW",HYPERLINK("mailto:"&amp;_xlfn.XLOOKUP($A13,'Item Master'!$A$4:$A$53,'Item Master'!$J$4:$J$53,"")&amp;"?subject="&amp;SUBSTITUTE("URGENT restock request - "&amp;$B13&amp;" ("&amp;$A13&amp;")"," ","%20")&amp;"&amp;body="&amp;SUBSTITUTE(SUBSTITUTE("Hello "&amp;_xlfn.XLOOKUP($A13,'Item Master'!$A$4:$A$53,'Item Master'!$H$4:$H$53,"Supplier")&amp;"," &amp; CHAR(10) &amp; "We urgently need to restock "&amp;$B13&amp;" (SKU "&amp;$A13&amp;"). Our current stock is "&amp;TEXT($E13,"0")&amp;"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3" s="32">
        <f>IF($A13="","",$E13*_xlfn.XLOOKUP($A13,'Item Master'!$A$4:$A$53,'Item Master'!$D$4:$D$53,0))</f>
        <v/>
      </c>
    </row>
    <row r="14" ht="32" customHeight="1">
      <c r="A14" s="26">
        <f>IF(INDEX('Item Master'!$A$4:$A$53,6)="","",INDEX('Item Master'!$A$4:$A$53,6))</f>
        <v/>
      </c>
      <c r="B14" s="27">
        <f>IF($A14="","",_xlfn.XLOOKUP($A14,'Item Master'!$A$4:$A$53,'Item Master'!$B$4:$B$53,""))</f>
        <v/>
      </c>
      <c r="C14" s="28">
        <f>IF($A14="","",SUMIFS('Log Transaction'!$E$4:$E$303,'Log Transaction'!$C$4:$C$303,$A14,'Log Transaction'!$D$4:$D$303,"IN"))</f>
        <v/>
      </c>
      <c r="D14" s="28">
        <f>IF($A14="","",SUMIFS('Log Transaction'!$E$4:$E$303,'Log Transaction'!$C$4:$C$303,$A14,'Log Transaction'!$D$4:$D$303,"OUT")+SUMIFS('Log Transaction'!$E$4:$E$303,'Log Transaction'!$C$4:$C$303,$A14,'Log Transaction'!$D$4:$D$303,"SHRINKAGE"))</f>
        <v/>
      </c>
      <c r="E14" s="29">
        <f>IF($A14="","",$C14-$D14)</f>
        <v/>
      </c>
      <c r="F14" s="30">
        <f>IF($A14="","",IF($E14&lt;=_xlfn.XLOOKUP($A14,'Item Master'!$A$4:$A$53,'Item Master'!$F$4:$F$53,0)*0.1,"⚠️ REORDER NOW","✅ IN STOCK"))</f>
        <v/>
      </c>
      <c r="G14" s="31">
        <f>IF($A14="","",IF($F14="⚠️ REORDER NOW",HYPERLINK("https://wa.me/"&amp;SUBSTITUTE(SUBSTITUTE(SUBSTITUTE(SUBSTITUTE(SUBSTITUTE(SUBSTITUTE(_xlfn.XLOOKUP($A14,'Item Master'!$A$4:$A$53,'Item Master'!$I$4:$I$53,""),"+",""),"-","")," ",""),"(",""),")",""),".","")&amp;"?text="&amp;SUBSTITUTE("Hello "&amp;_xlfn.XLOOKUP($A14,'Item Master'!$A$4:$A$53,'Item Master'!$H$4:$H$53,"Supplier")&amp;", we urgently need more "&amp;$B14&amp;". Current stock is only "&amp;TEXT($E14,"0")&amp;" units. Please confirm availability and your fastest lead time. Thank you - Momentum Mind Store."," ","%20"),"💬  ORDER NOW"),""))</f>
        <v/>
      </c>
      <c r="H14" s="31">
        <f>IF($A14="","",IF($F14="⚠️ REORDER NOW",HYPERLINK("mailto:"&amp;_xlfn.XLOOKUP($A14,'Item Master'!$A$4:$A$53,'Item Master'!$J$4:$J$53,"")&amp;"?subject="&amp;SUBSTITUTE("URGENT restock request - "&amp;$B14&amp;" ("&amp;$A14&amp;")"," ","%20")&amp;"&amp;body="&amp;SUBSTITUTE(SUBSTITUTE("Hello "&amp;_xlfn.XLOOKUP($A14,'Item Master'!$A$4:$A$53,'Item Master'!$H$4:$H$53,"Supplier")&amp;"," &amp; CHAR(10) &amp; "We urgently need to restock "&amp;$B14&amp;" (SKU "&amp;$A14&amp;"). Our current stock is "&amp;TEXT($E14,"0")&amp;"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4" s="32">
        <f>IF($A14="","",$E14*_xlfn.XLOOKUP($A14,'Item Master'!$A$4:$A$53,'Item Master'!$D$4:$D$53,0))</f>
        <v/>
      </c>
    </row>
    <row r="15" ht="32" customHeight="1">
      <c r="A15" s="26">
        <f>IF(INDEX('Item Master'!$A$4:$A$53,7)="","",INDEX('Item Master'!$A$4:$A$53,7))</f>
        <v/>
      </c>
      <c r="B15" s="27">
        <f>IF($A15="","",_xlfn.XLOOKUP($A15,'Item Master'!$A$4:$A$53,'Item Master'!$B$4:$B$53,""))</f>
        <v/>
      </c>
      <c r="C15" s="28">
        <f>IF($A15="","",SUMIFS('Log Transaction'!$E$4:$E$303,'Log Transaction'!$C$4:$C$303,$A15,'Log Transaction'!$D$4:$D$303,"IN"))</f>
        <v/>
      </c>
      <c r="D15" s="28">
        <f>IF($A15="","",SUMIFS('Log Transaction'!$E$4:$E$303,'Log Transaction'!$C$4:$C$303,$A15,'Log Transaction'!$D$4:$D$303,"OUT")+SUMIFS('Log Transaction'!$E$4:$E$303,'Log Transaction'!$C$4:$C$303,$A15,'Log Transaction'!$D$4:$D$303,"SHRINKAGE"))</f>
        <v/>
      </c>
      <c r="E15" s="29">
        <f>IF($A15="","",$C15-$D15)</f>
        <v/>
      </c>
      <c r="F15" s="30">
        <f>IF($A15="","",IF($E15&lt;=_xlfn.XLOOKUP($A15,'Item Master'!$A$4:$A$53,'Item Master'!$F$4:$F$53,0)*0.1,"⚠️ REORDER NOW","✅ IN STOCK"))</f>
        <v/>
      </c>
      <c r="G15" s="31">
        <f>IF($A15="","",IF($F15="⚠️ REORDER NOW",HYPERLINK("https://wa.me/"&amp;SUBSTITUTE(SUBSTITUTE(SUBSTITUTE(SUBSTITUTE(SUBSTITUTE(SUBSTITUTE(_xlfn.XLOOKUP($A15,'Item Master'!$A$4:$A$53,'Item Master'!$I$4:$I$53,""),"+",""),"-","")," ",""),"(",""),")",""),".","")&amp;"?text="&amp;SUBSTITUTE("Hello "&amp;_xlfn.XLOOKUP($A15,'Item Master'!$A$4:$A$53,'Item Master'!$H$4:$H$53,"Supplier")&amp;", we urgently need more "&amp;$B15&amp;". Current stock is only "&amp;TEXT($E15,"0")&amp;" units. Please confirm availability and your fastest lead time. Thank you - Momentum Mind Store."," ","%20"),"💬  ORDER NOW"),""))</f>
        <v/>
      </c>
      <c r="H15" s="31">
        <f>IF($A15="","",IF($F15="⚠️ REORDER NOW",HYPERLINK("mailto:"&amp;_xlfn.XLOOKUP($A15,'Item Master'!$A$4:$A$53,'Item Master'!$J$4:$J$53,"")&amp;"?subject="&amp;SUBSTITUTE("URGENT restock request - "&amp;$B15&amp;" ("&amp;$A15&amp;")"," ","%20")&amp;"&amp;body="&amp;SUBSTITUTE(SUBSTITUTE("Hello "&amp;_xlfn.XLOOKUP($A15,'Item Master'!$A$4:$A$53,'Item Master'!$H$4:$H$53,"Supplier")&amp;"," &amp; CHAR(10) &amp; "We urgently need to restock "&amp;$B15&amp;" (SKU "&amp;$A15&amp;"). Our current stock is "&amp;TEXT($E15,"0")&amp;"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5" s="32">
        <f>IF($A15="","",$E15*_xlfn.XLOOKUP($A15,'Item Master'!$A$4:$A$53,'Item Master'!$D$4:$D$53,0))</f>
        <v/>
      </c>
    </row>
    <row r="16" ht="32" customHeight="1">
      <c r="A16" s="26">
        <f>IF(INDEX('Item Master'!$A$4:$A$53,8)="","",INDEX('Item Master'!$A$4:$A$53,8))</f>
        <v/>
      </c>
      <c r="B16" s="27">
        <f>IF($A16="","",_xlfn.XLOOKUP($A16,'Item Master'!$A$4:$A$53,'Item Master'!$B$4:$B$53,""))</f>
        <v/>
      </c>
      <c r="C16" s="28">
        <f>IF($A16="","",SUMIFS('Log Transaction'!$E$4:$E$303,'Log Transaction'!$C$4:$C$303,$A16,'Log Transaction'!$D$4:$D$303,"IN"))</f>
        <v/>
      </c>
      <c r="D16" s="28">
        <f>IF($A16="","",SUMIFS('Log Transaction'!$E$4:$E$303,'Log Transaction'!$C$4:$C$303,$A16,'Log Transaction'!$D$4:$D$303,"OUT")+SUMIFS('Log Transaction'!$E$4:$E$303,'Log Transaction'!$C$4:$C$303,$A16,'Log Transaction'!$D$4:$D$303,"SHRINKAGE"))</f>
        <v/>
      </c>
      <c r="E16" s="29">
        <f>IF($A16="","",$C16-$D16)</f>
        <v/>
      </c>
      <c r="F16" s="30">
        <f>IF($A16="","",IF($E16&lt;=_xlfn.XLOOKUP($A16,'Item Master'!$A$4:$A$53,'Item Master'!$F$4:$F$53,0)*0.1,"⚠️ REORDER NOW","✅ IN STOCK"))</f>
        <v/>
      </c>
      <c r="G16" s="31">
        <f>IF($A16="","",IF($F16="⚠️ REORDER NOW",HYPERLINK("https://wa.me/"&amp;SUBSTITUTE(SUBSTITUTE(SUBSTITUTE(SUBSTITUTE(SUBSTITUTE(SUBSTITUTE(_xlfn.XLOOKUP($A16,'Item Master'!$A$4:$A$53,'Item Master'!$I$4:$I$53,""),"+",""),"-","")," ",""),"(",""),")",""),".","")&amp;"?text="&amp;SUBSTITUTE("Hello "&amp;_xlfn.XLOOKUP($A16,'Item Master'!$A$4:$A$53,'Item Master'!$H$4:$H$53,"Supplier")&amp;", we urgently need more "&amp;$B16&amp;". Current stock is only "&amp;TEXT($E16,"0")&amp;" units. Please confirm availability and your fastest lead time. Thank you - Momentum Mind Store."," ","%20"),"💬  ORDER NOW"),""))</f>
        <v/>
      </c>
      <c r="H16" s="31">
        <f>IF($A16="","",IF($F16="⚠️ REORDER NOW",HYPERLINK("mailto:"&amp;_xlfn.XLOOKUP($A16,'Item Master'!$A$4:$A$53,'Item Master'!$J$4:$J$53,"")&amp;"?subject="&amp;SUBSTITUTE("URGENT restock request - "&amp;$B16&amp;" ("&amp;$A16&amp;")"," ","%20")&amp;"&amp;body="&amp;SUBSTITUTE(SUBSTITUTE("Hello "&amp;_xlfn.XLOOKUP($A16,'Item Master'!$A$4:$A$53,'Item Master'!$H$4:$H$53,"Supplier")&amp;"," &amp; CHAR(10) &amp; "We urgently need to restock "&amp;$B16&amp;" (SKU "&amp;$A16&amp;"). Our current stock is "&amp;TEXT($E16,"0")&amp;"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6" s="32">
        <f>IF($A16="","",$E16*_xlfn.XLOOKUP($A16,'Item Master'!$A$4:$A$53,'Item Master'!$D$4:$D$53,0))</f>
        <v/>
      </c>
    </row>
    <row r="17" ht="32" customHeight="1">
      <c r="A17" s="26">
        <f>IF(INDEX('Item Master'!$A$4:$A$53,9)="","",INDEX('Item Master'!$A$4:$A$53,9))</f>
        <v/>
      </c>
      <c r="B17" s="27">
        <f>IF($A17="","",_xlfn.XLOOKUP($A17,'Item Master'!$A$4:$A$53,'Item Master'!$B$4:$B$53,""))</f>
        <v/>
      </c>
      <c r="C17" s="28">
        <f>IF($A17="","",SUMIFS('Log Transaction'!$E$4:$E$303,'Log Transaction'!$C$4:$C$303,$A17,'Log Transaction'!$D$4:$D$303,"IN"))</f>
        <v/>
      </c>
      <c r="D17" s="28">
        <f>IF($A17="","",SUMIFS('Log Transaction'!$E$4:$E$303,'Log Transaction'!$C$4:$C$303,$A17,'Log Transaction'!$D$4:$D$303,"OUT")+SUMIFS('Log Transaction'!$E$4:$E$303,'Log Transaction'!$C$4:$C$303,$A17,'Log Transaction'!$D$4:$D$303,"SHRINKAGE"))</f>
        <v/>
      </c>
      <c r="E17" s="29">
        <f>IF($A17="","",$C17-$D17)</f>
        <v/>
      </c>
      <c r="F17" s="30">
        <f>IF($A17="","",IF($E17&lt;=_xlfn.XLOOKUP($A17,'Item Master'!$A$4:$A$53,'Item Master'!$F$4:$F$53,0)*0.1,"⚠️ REORDER NOW","✅ IN STOCK"))</f>
        <v/>
      </c>
      <c r="G17" s="31">
        <f>IF($A17="","",IF($F17="⚠️ REORDER NOW",HYPERLINK("https://wa.me/"&amp;SUBSTITUTE(SUBSTITUTE(SUBSTITUTE(SUBSTITUTE(SUBSTITUTE(SUBSTITUTE(_xlfn.XLOOKUP($A17,'Item Master'!$A$4:$A$53,'Item Master'!$I$4:$I$53,""),"+",""),"-","")," ",""),"(",""),")",""),".","")&amp;"?text="&amp;SUBSTITUTE("Hello "&amp;_xlfn.XLOOKUP($A17,'Item Master'!$A$4:$A$53,'Item Master'!$H$4:$H$53,"Supplier")&amp;", we urgently need more "&amp;$B17&amp;". Current stock is only "&amp;TEXT($E17,"0")&amp;" units. Please confirm availability and your fastest lead time. Thank you - Momentum Mind Store."," ","%20"),"💬  ORDER NOW"),""))</f>
        <v/>
      </c>
      <c r="H17" s="31">
        <f>IF($A17="","",IF($F17="⚠️ REORDER NOW",HYPERLINK("mailto:"&amp;_xlfn.XLOOKUP($A17,'Item Master'!$A$4:$A$53,'Item Master'!$J$4:$J$53,"")&amp;"?subject="&amp;SUBSTITUTE("URGENT restock request - "&amp;$B17&amp;" ("&amp;$A17&amp;")"," ","%20")&amp;"&amp;body="&amp;SUBSTITUTE(SUBSTITUTE("Hello "&amp;_xlfn.XLOOKUP($A17,'Item Master'!$A$4:$A$53,'Item Master'!$H$4:$H$53,"Supplier")&amp;"," &amp; CHAR(10) &amp; "We urgently need to restock "&amp;$B17&amp;" (SKU "&amp;$A17&amp;"). Our current stock is "&amp;TEXT($E17,"0")&amp;"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7" s="32">
        <f>IF($A17="","",$E17*_xlfn.XLOOKUP($A17,'Item Master'!$A$4:$A$53,'Item Master'!$D$4:$D$53,0))</f>
        <v/>
      </c>
    </row>
    <row r="18" ht="32" customHeight="1">
      <c r="A18" s="26">
        <f>IF(INDEX('Item Master'!$A$4:$A$53,10)="","",INDEX('Item Master'!$A$4:$A$53,10))</f>
        <v/>
      </c>
      <c r="B18" s="27">
        <f>IF($A18="","",_xlfn.XLOOKUP($A18,'Item Master'!$A$4:$A$53,'Item Master'!$B$4:$B$53,""))</f>
        <v/>
      </c>
      <c r="C18" s="28">
        <f>IF($A18="","",SUMIFS('Log Transaction'!$E$4:$E$303,'Log Transaction'!$C$4:$C$303,$A18,'Log Transaction'!$D$4:$D$303,"IN"))</f>
        <v/>
      </c>
      <c r="D18" s="28">
        <f>IF($A18="","",SUMIFS('Log Transaction'!$E$4:$E$303,'Log Transaction'!$C$4:$C$303,$A18,'Log Transaction'!$D$4:$D$303,"OUT")+SUMIFS('Log Transaction'!$E$4:$E$303,'Log Transaction'!$C$4:$C$303,$A18,'Log Transaction'!$D$4:$D$303,"SHRINKAGE"))</f>
        <v/>
      </c>
      <c r="E18" s="29">
        <f>IF($A18="","",$C18-$D18)</f>
        <v/>
      </c>
      <c r="F18" s="30">
        <f>IF($A18="","",IF($E18&lt;=_xlfn.XLOOKUP($A18,'Item Master'!$A$4:$A$53,'Item Master'!$F$4:$F$53,0)*0.1,"⚠️ REORDER NOW","✅ IN STOCK"))</f>
        <v/>
      </c>
      <c r="G18" s="31">
        <f>IF($A18="","",IF($F18="⚠️ REORDER NOW",HYPERLINK("https://wa.me/"&amp;SUBSTITUTE(SUBSTITUTE(SUBSTITUTE(SUBSTITUTE(SUBSTITUTE(SUBSTITUTE(_xlfn.XLOOKUP($A18,'Item Master'!$A$4:$A$53,'Item Master'!$I$4:$I$53,""),"+",""),"-","")," ",""),"(",""),")",""),".","")&amp;"?text="&amp;SUBSTITUTE("Hello "&amp;_xlfn.XLOOKUP($A18,'Item Master'!$A$4:$A$53,'Item Master'!$H$4:$H$53,"Supplier")&amp;", we urgently need more "&amp;$B18&amp;". Current stock is only "&amp;TEXT($E18,"0")&amp;" units. Please confirm availability and your fastest lead time. Thank you - Momentum Mind Store."," ","%20"),"💬  ORDER NOW"),""))</f>
        <v/>
      </c>
      <c r="H18" s="31">
        <f>IF($A18="","",IF($F18="⚠️ REORDER NOW",HYPERLINK("mailto:"&amp;_xlfn.XLOOKUP($A18,'Item Master'!$A$4:$A$53,'Item Master'!$J$4:$J$53,"")&amp;"?subject="&amp;SUBSTITUTE("URGENT restock request - "&amp;$B18&amp;" ("&amp;$A18&amp;")"," ","%20")&amp;"&amp;body="&amp;SUBSTITUTE(SUBSTITUTE("Hello "&amp;_xlfn.XLOOKUP($A18,'Item Master'!$A$4:$A$53,'Item Master'!$H$4:$H$53,"Supplier")&amp;"," &amp; CHAR(10) &amp; "We urgently need to restock "&amp;$B18&amp;" (SKU "&amp;$A18&amp;"). Our current stock is "&amp;TEXT($E18,"0")&amp;"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8" s="32">
        <f>IF($A18="","",$E18*_xlfn.XLOOKUP($A18,'Item Master'!$A$4:$A$53,'Item Master'!$D$4:$D$53,0))</f>
        <v/>
      </c>
    </row>
    <row r="19" ht="32" customHeight="1">
      <c r="A19" s="26">
        <f>IF(INDEX('Item Master'!$A$4:$A$53,11)="","",INDEX('Item Master'!$A$4:$A$53,11))</f>
        <v/>
      </c>
      <c r="B19" s="27">
        <f>IF($A19="","",_xlfn.XLOOKUP($A19,'Item Master'!$A$4:$A$53,'Item Master'!$B$4:$B$53,""))</f>
        <v/>
      </c>
      <c r="C19" s="28">
        <f>IF($A19="","",SUMIFS('Log Transaction'!$E$4:$E$303,'Log Transaction'!$C$4:$C$303,$A19,'Log Transaction'!$D$4:$D$303,"IN"))</f>
        <v/>
      </c>
      <c r="D19" s="28">
        <f>IF($A19="","",SUMIFS('Log Transaction'!$E$4:$E$303,'Log Transaction'!$C$4:$C$303,$A19,'Log Transaction'!$D$4:$D$303,"OUT")+SUMIFS('Log Transaction'!$E$4:$E$303,'Log Transaction'!$C$4:$C$303,$A19,'Log Transaction'!$D$4:$D$303,"SHRINKAGE"))</f>
        <v/>
      </c>
      <c r="E19" s="29">
        <f>IF($A19="","",$C19-$D19)</f>
        <v/>
      </c>
      <c r="F19" s="30">
        <f>IF($A19="","",IF($E19&lt;=_xlfn.XLOOKUP($A19,'Item Master'!$A$4:$A$53,'Item Master'!$F$4:$F$53,0)*0.1,"⚠️ REORDER NOW","✅ IN STOCK"))</f>
        <v/>
      </c>
      <c r="G19" s="31">
        <f>IF($A19="","",IF($F19="⚠️ REORDER NOW",HYPERLINK("https://wa.me/"&amp;SUBSTITUTE(SUBSTITUTE(SUBSTITUTE(SUBSTITUTE(SUBSTITUTE(SUBSTITUTE(_xlfn.XLOOKUP($A19,'Item Master'!$A$4:$A$53,'Item Master'!$I$4:$I$53,""),"+",""),"-","")," ",""),"(",""),")",""),".","")&amp;"?text="&amp;SUBSTITUTE("Hello "&amp;_xlfn.XLOOKUP($A19,'Item Master'!$A$4:$A$53,'Item Master'!$H$4:$H$53,"Supplier")&amp;", we urgently need more "&amp;$B19&amp;". Current stock is only "&amp;TEXT($E19,"0")&amp;" units. Please confirm availability and your fastest lead time. Thank you - Momentum Mind Store."," ","%20"),"💬  ORDER NOW"),""))</f>
        <v/>
      </c>
      <c r="H19" s="31">
        <f>IF($A19="","",IF($F19="⚠️ REORDER NOW",HYPERLINK("mailto:"&amp;_xlfn.XLOOKUP($A19,'Item Master'!$A$4:$A$53,'Item Master'!$J$4:$J$53,"")&amp;"?subject="&amp;SUBSTITUTE("URGENT restock request - "&amp;$B19&amp;" ("&amp;$A19&amp;")"," ","%20")&amp;"&amp;body="&amp;SUBSTITUTE(SUBSTITUTE("Hello "&amp;_xlfn.XLOOKUP($A19,'Item Master'!$A$4:$A$53,'Item Master'!$H$4:$H$53,"Supplier")&amp;"," &amp; CHAR(10) &amp; "We urgently need to restock "&amp;$B19&amp;" (SKU "&amp;$A19&amp;"). Our current stock is "&amp;TEXT($E19,"0")&amp;"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19" s="32">
        <f>IF($A19="","",$E19*_xlfn.XLOOKUP($A19,'Item Master'!$A$4:$A$53,'Item Master'!$D$4:$D$53,0))</f>
        <v/>
      </c>
    </row>
    <row r="20" ht="32" customHeight="1">
      <c r="A20" s="26">
        <f>IF(INDEX('Item Master'!$A$4:$A$53,12)="","",INDEX('Item Master'!$A$4:$A$53,12))</f>
        <v/>
      </c>
      <c r="B20" s="27">
        <f>IF($A20="","",_xlfn.XLOOKUP($A20,'Item Master'!$A$4:$A$53,'Item Master'!$B$4:$B$53,""))</f>
        <v/>
      </c>
      <c r="C20" s="28">
        <f>IF($A20="","",SUMIFS('Log Transaction'!$E$4:$E$303,'Log Transaction'!$C$4:$C$303,$A20,'Log Transaction'!$D$4:$D$303,"IN"))</f>
        <v/>
      </c>
      <c r="D20" s="28">
        <f>IF($A20="","",SUMIFS('Log Transaction'!$E$4:$E$303,'Log Transaction'!$C$4:$C$303,$A20,'Log Transaction'!$D$4:$D$303,"OUT")+SUMIFS('Log Transaction'!$E$4:$E$303,'Log Transaction'!$C$4:$C$303,$A20,'Log Transaction'!$D$4:$D$303,"SHRINKAGE"))</f>
        <v/>
      </c>
      <c r="E20" s="29">
        <f>IF($A20="","",$C20-$D20)</f>
        <v/>
      </c>
      <c r="F20" s="30">
        <f>IF($A20="","",IF($E20&lt;=_xlfn.XLOOKUP($A20,'Item Master'!$A$4:$A$53,'Item Master'!$F$4:$F$53,0)*0.1,"⚠️ REORDER NOW","✅ IN STOCK"))</f>
        <v/>
      </c>
      <c r="G20" s="31">
        <f>IF($A20="","",IF($F20="⚠️ REORDER NOW",HYPERLINK("https://wa.me/"&amp;SUBSTITUTE(SUBSTITUTE(SUBSTITUTE(SUBSTITUTE(SUBSTITUTE(SUBSTITUTE(_xlfn.XLOOKUP($A20,'Item Master'!$A$4:$A$53,'Item Master'!$I$4:$I$53,""),"+",""),"-","")," ",""),"(",""),")",""),".","")&amp;"?text="&amp;SUBSTITUTE("Hello "&amp;_xlfn.XLOOKUP($A20,'Item Master'!$A$4:$A$53,'Item Master'!$H$4:$H$53,"Supplier")&amp;", we urgently need more "&amp;$B20&amp;". Current stock is only "&amp;TEXT($E20,"0")&amp;" units. Please confirm availability and your fastest lead time. Thank you - Momentum Mind Store."," ","%20"),"💬  ORDER NOW"),""))</f>
        <v/>
      </c>
      <c r="H20" s="31">
        <f>IF($A20="","",IF($F20="⚠️ REORDER NOW",HYPERLINK("mailto:"&amp;_xlfn.XLOOKUP($A20,'Item Master'!$A$4:$A$53,'Item Master'!$J$4:$J$53,"")&amp;"?subject="&amp;SUBSTITUTE("URGENT restock request - "&amp;$B20&amp;" ("&amp;$A20&amp;")"," ","%20")&amp;"&amp;body="&amp;SUBSTITUTE(SUBSTITUTE("Hello "&amp;_xlfn.XLOOKUP($A20,'Item Master'!$A$4:$A$53,'Item Master'!$H$4:$H$53,"Supplier")&amp;"," &amp; CHAR(10) &amp; "We urgently need to restock "&amp;$B20&amp;" (SKU "&amp;$A20&amp;"). Our current stock is "&amp;TEXT($E20,"0")&amp;"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0" s="32">
        <f>IF($A20="","",$E20*_xlfn.XLOOKUP($A20,'Item Master'!$A$4:$A$53,'Item Master'!$D$4:$D$53,0))</f>
        <v/>
      </c>
    </row>
    <row r="21" ht="32" customHeight="1">
      <c r="A21" s="26">
        <f>IF(INDEX('Item Master'!$A$4:$A$53,13)="","",INDEX('Item Master'!$A$4:$A$53,13))</f>
        <v/>
      </c>
      <c r="B21" s="27">
        <f>IF($A21="","",_xlfn.XLOOKUP($A21,'Item Master'!$A$4:$A$53,'Item Master'!$B$4:$B$53,""))</f>
        <v/>
      </c>
      <c r="C21" s="28">
        <f>IF($A21="","",SUMIFS('Log Transaction'!$E$4:$E$303,'Log Transaction'!$C$4:$C$303,$A21,'Log Transaction'!$D$4:$D$303,"IN"))</f>
        <v/>
      </c>
      <c r="D21" s="28">
        <f>IF($A21="","",SUMIFS('Log Transaction'!$E$4:$E$303,'Log Transaction'!$C$4:$C$303,$A21,'Log Transaction'!$D$4:$D$303,"OUT")+SUMIFS('Log Transaction'!$E$4:$E$303,'Log Transaction'!$C$4:$C$303,$A21,'Log Transaction'!$D$4:$D$303,"SHRINKAGE"))</f>
        <v/>
      </c>
      <c r="E21" s="29">
        <f>IF($A21="","",$C21-$D21)</f>
        <v/>
      </c>
      <c r="F21" s="30">
        <f>IF($A21="","",IF($E21&lt;=_xlfn.XLOOKUP($A21,'Item Master'!$A$4:$A$53,'Item Master'!$F$4:$F$53,0)*0.1,"⚠️ REORDER NOW","✅ IN STOCK"))</f>
        <v/>
      </c>
      <c r="G21" s="31">
        <f>IF($A21="","",IF($F21="⚠️ REORDER NOW",HYPERLINK("https://wa.me/"&amp;SUBSTITUTE(SUBSTITUTE(SUBSTITUTE(SUBSTITUTE(SUBSTITUTE(SUBSTITUTE(_xlfn.XLOOKUP($A21,'Item Master'!$A$4:$A$53,'Item Master'!$I$4:$I$53,""),"+",""),"-","")," ",""),"(",""),")",""),".","")&amp;"?text="&amp;SUBSTITUTE("Hello "&amp;_xlfn.XLOOKUP($A21,'Item Master'!$A$4:$A$53,'Item Master'!$H$4:$H$53,"Supplier")&amp;", we urgently need more "&amp;$B21&amp;". Current stock is only "&amp;TEXT($E21,"0")&amp;" units. Please confirm availability and your fastest lead time. Thank you - Momentum Mind Store."," ","%20"),"💬  ORDER NOW"),""))</f>
        <v/>
      </c>
      <c r="H21" s="31">
        <f>IF($A21="","",IF($F21="⚠️ REORDER NOW",HYPERLINK("mailto:"&amp;_xlfn.XLOOKUP($A21,'Item Master'!$A$4:$A$53,'Item Master'!$J$4:$J$53,"")&amp;"?subject="&amp;SUBSTITUTE("URGENT restock request - "&amp;$B21&amp;" ("&amp;$A21&amp;")"," ","%20")&amp;"&amp;body="&amp;SUBSTITUTE(SUBSTITUTE("Hello "&amp;_xlfn.XLOOKUP($A21,'Item Master'!$A$4:$A$53,'Item Master'!$H$4:$H$53,"Supplier")&amp;"," &amp; CHAR(10) &amp; "We urgently need to restock "&amp;$B21&amp;" (SKU "&amp;$A21&amp;"). Our current stock is "&amp;TEXT($E21,"0")&amp;"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1" s="32">
        <f>IF($A21="","",$E21*_xlfn.XLOOKUP($A21,'Item Master'!$A$4:$A$53,'Item Master'!$D$4:$D$53,0))</f>
        <v/>
      </c>
    </row>
    <row r="22" ht="32" customHeight="1">
      <c r="A22" s="26">
        <f>IF(INDEX('Item Master'!$A$4:$A$53,14)="","",INDEX('Item Master'!$A$4:$A$53,14))</f>
        <v/>
      </c>
      <c r="B22" s="27">
        <f>IF($A22="","",_xlfn.XLOOKUP($A22,'Item Master'!$A$4:$A$53,'Item Master'!$B$4:$B$53,""))</f>
        <v/>
      </c>
      <c r="C22" s="28">
        <f>IF($A22="","",SUMIFS('Log Transaction'!$E$4:$E$303,'Log Transaction'!$C$4:$C$303,$A22,'Log Transaction'!$D$4:$D$303,"IN"))</f>
        <v/>
      </c>
      <c r="D22" s="28">
        <f>IF($A22="","",SUMIFS('Log Transaction'!$E$4:$E$303,'Log Transaction'!$C$4:$C$303,$A22,'Log Transaction'!$D$4:$D$303,"OUT")+SUMIFS('Log Transaction'!$E$4:$E$303,'Log Transaction'!$C$4:$C$303,$A22,'Log Transaction'!$D$4:$D$303,"SHRINKAGE"))</f>
        <v/>
      </c>
      <c r="E22" s="29">
        <f>IF($A22="","",$C22-$D22)</f>
        <v/>
      </c>
      <c r="F22" s="30">
        <f>IF($A22="","",IF($E22&lt;=_xlfn.XLOOKUP($A22,'Item Master'!$A$4:$A$53,'Item Master'!$F$4:$F$53,0)*0.1,"⚠️ REORDER NOW","✅ IN STOCK"))</f>
        <v/>
      </c>
      <c r="G22" s="31">
        <f>IF($A22="","",IF($F22="⚠️ REORDER NOW",HYPERLINK("https://wa.me/"&amp;SUBSTITUTE(SUBSTITUTE(SUBSTITUTE(SUBSTITUTE(SUBSTITUTE(SUBSTITUTE(_xlfn.XLOOKUP($A22,'Item Master'!$A$4:$A$53,'Item Master'!$I$4:$I$53,""),"+",""),"-","")," ",""),"(",""),")",""),".","")&amp;"?text="&amp;SUBSTITUTE("Hello "&amp;_xlfn.XLOOKUP($A22,'Item Master'!$A$4:$A$53,'Item Master'!$H$4:$H$53,"Supplier")&amp;", we urgently need more "&amp;$B22&amp;". Current stock is only "&amp;TEXT($E22,"0")&amp;" units. Please confirm availability and your fastest lead time. Thank you - Momentum Mind Store."," ","%20"),"💬  ORDER NOW"),""))</f>
        <v/>
      </c>
      <c r="H22" s="31">
        <f>IF($A22="","",IF($F22="⚠️ REORDER NOW",HYPERLINK("mailto:"&amp;_xlfn.XLOOKUP($A22,'Item Master'!$A$4:$A$53,'Item Master'!$J$4:$J$53,"")&amp;"?subject="&amp;SUBSTITUTE("URGENT restock request - "&amp;$B22&amp;" ("&amp;$A22&amp;")"," ","%20")&amp;"&amp;body="&amp;SUBSTITUTE(SUBSTITUTE("Hello "&amp;_xlfn.XLOOKUP($A22,'Item Master'!$A$4:$A$53,'Item Master'!$H$4:$H$53,"Supplier")&amp;"," &amp; CHAR(10) &amp; "We urgently need to restock "&amp;$B22&amp;" (SKU "&amp;$A22&amp;"). Our current stock is "&amp;TEXT($E22,"0")&amp;"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2" s="32">
        <f>IF($A22="","",$E22*_xlfn.XLOOKUP($A22,'Item Master'!$A$4:$A$53,'Item Master'!$D$4:$D$53,0))</f>
        <v/>
      </c>
    </row>
    <row r="23" ht="32" customHeight="1">
      <c r="A23" s="26">
        <f>IF(INDEX('Item Master'!$A$4:$A$53,15)="","",INDEX('Item Master'!$A$4:$A$53,15))</f>
        <v/>
      </c>
      <c r="B23" s="27">
        <f>IF($A23="","",_xlfn.XLOOKUP($A23,'Item Master'!$A$4:$A$53,'Item Master'!$B$4:$B$53,""))</f>
        <v/>
      </c>
      <c r="C23" s="28">
        <f>IF($A23="","",SUMIFS('Log Transaction'!$E$4:$E$303,'Log Transaction'!$C$4:$C$303,$A23,'Log Transaction'!$D$4:$D$303,"IN"))</f>
        <v/>
      </c>
      <c r="D23" s="28">
        <f>IF($A23="","",SUMIFS('Log Transaction'!$E$4:$E$303,'Log Transaction'!$C$4:$C$303,$A23,'Log Transaction'!$D$4:$D$303,"OUT")+SUMIFS('Log Transaction'!$E$4:$E$303,'Log Transaction'!$C$4:$C$303,$A23,'Log Transaction'!$D$4:$D$303,"SHRINKAGE"))</f>
        <v/>
      </c>
      <c r="E23" s="29">
        <f>IF($A23="","",$C23-$D23)</f>
        <v/>
      </c>
      <c r="F23" s="30">
        <f>IF($A23="","",IF($E23&lt;=_xlfn.XLOOKUP($A23,'Item Master'!$A$4:$A$53,'Item Master'!$F$4:$F$53,0)*0.1,"⚠️ REORDER NOW","✅ IN STOCK"))</f>
        <v/>
      </c>
      <c r="G23" s="31">
        <f>IF($A23="","",IF($F23="⚠️ REORDER NOW",HYPERLINK("https://wa.me/"&amp;SUBSTITUTE(SUBSTITUTE(SUBSTITUTE(SUBSTITUTE(SUBSTITUTE(SUBSTITUTE(_xlfn.XLOOKUP($A23,'Item Master'!$A$4:$A$53,'Item Master'!$I$4:$I$53,""),"+",""),"-","")," ",""),"(",""),")",""),".","")&amp;"?text="&amp;SUBSTITUTE("Hello "&amp;_xlfn.XLOOKUP($A23,'Item Master'!$A$4:$A$53,'Item Master'!$H$4:$H$53,"Supplier")&amp;", we urgently need more "&amp;$B23&amp;". Current stock is only "&amp;TEXT($E23,"0")&amp;" units. Please confirm availability and your fastest lead time. Thank you - Momentum Mind Store."," ","%20"),"💬  ORDER NOW"),""))</f>
        <v/>
      </c>
      <c r="H23" s="31">
        <f>IF($A23="","",IF($F23="⚠️ REORDER NOW",HYPERLINK("mailto:"&amp;_xlfn.XLOOKUP($A23,'Item Master'!$A$4:$A$53,'Item Master'!$J$4:$J$53,"")&amp;"?subject="&amp;SUBSTITUTE("URGENT restock request - "&amp;$B23&amp;" ("&amp;$A23&amp;")"," ","%20")&amp;"&amp;body="&amp;SUBSTITUTE(SUBSTITUTE("Hello "&amp;_xlfn.XLOOKUP($A23,'Item Master'!$A$4:$A$53,'Item Master'!$H$4:$H$53,"Supplier")&amp;"," &amp; CHAR(10) &amp; "We urgently need to restock "&amp;$B23&amp;" (SKU "&amp;$A23&amp;"). Our current stock is "&amp;TEXT($E23,"0")&amp;"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3" s="32">
        <f>IF($A23="","",$E23*_xlfn.XLOOKUP($A23,'Item Master'!$A$4:$A$53,'Item Master'!$D$4:$D$53,0))</f>
        <v/>
      </c>
    </row>
    <row r="24" ht="32" customHeight="1">
      <c r="A24" s="26">
        <f>IF(INDEX('Item Master'!$A$4:$A$53,16)="","",INDEX('Item Master'!$A$4:$A$53,16))</f>
        <v/>
      </c>
      <c r="B24" s="27">
        <f>IF($A24="","",_xlfn.XLOOKUP($A24,'Item Master'!$A$4:$A$53,'Item Master'!$B$4:$B$53,""))</f>
        <v/>
      </c>
      <c r="C24" s="28">
        <f>IF($A24="","",SUMIFS('Log Transaction'!$E$4:$E$303,'Log Transaction'!$C$4:$C$303,$A24,'Log Transaction'!$D$4:$D$303,"IN"))</f>
        <v/>
      </c>
      <c r="D24" s="28">
        <f>IF($A24="","",SUMIFS('Log Transaction'!$E$4:$E$303,'Log Transaction'!$C$4:$C$303,$A24,'Log Transaction'!$D$4:$D$303,"OUT")+SUMIFS('Log Transaction'!$E$4:$E$303,'Log Transaction'!$C$4:$C$303,$A24,'Log Transaction'!$D$4:$D$303,"SHRINKAGE"))</f>
        <v/>
      </c>
      <c r="E24" s="29">
        <f>IF($A24="","",$C24-$D24)</f>
        <v/>
      </c>
      <c r="F24" s="30">
        <f>IF($A24="","",IF($E24&lt;=_xlfn.XLOOKUP($A24,'Item Master'!$A$4:$A$53,'Item Master'!$F$4:$F$53,0)*0.1,"⚠️ REORDER NOW","✅ IN STOCK"))</f>
        <v/>
      </c>
      <c r="G24" s="31">
        <f>IF($A24="","",IF($F24="⚠️ REORDER NOW",HYPERLINK("https://wa.me/"&amp;SUBSTITUTE(SUBSTITUTE(SUBSTITUTE(SUBSTITUTE(SUBSTITUTE(SUBSTITUTE(_xlfn.XLOOKUP($A24,'Item Master'!$A$4:$A$53,'Item Master'!$I$4:$I$53,""),"+",""),"-","")," ",""),"(",""),")",""),".","")&amp;"?text="&amp;SUBSTITUTE("Hello "&amp;_xlfn.XLOOKUP($A24,'Item Master'!$A$4:$A$53,'Item Master'!$H$4:$H$53,"Supplier")&amp;", we urgently need more "&amp;$B24&amp;". Current stock is only "&amp;TEXT($E24,"0")&amp;" units. Please confirm availability and your fastest lead time. Thank you - Momentum Mind Store."," ","%20"),"💬  ORDER NOW"),""))</f>
        <v/>
      </c>
      <c r="H24" s="31">
        <f>IF($A24="","",IF($F24="⚠️ REORDER NOW",HYPERLINK("mailto:"&amp;_xlfn.XLOOKUP($A24,'Item Master'!$A$4:$A$53,'Item Master'!$J$4:$J$53,"")&amp;"?subject="&amp;SUBSTITUTE("URGENT restock request - "&amp;$B24&amp;" ("&amp;$A24&amp;")"," ","%20")&amp;"&amp;body="&amp;SUBSTITUTE(SUBSTITUTE("Hello "&amp;_xlfn.XLOOKUP($A24,'Item Master'!$A$4:$A$53,'Item Master'!$H$4:$H$53,"Supplier")&amp;"," &amp; CHAR(10) &amp; "We urgently need to restock "&amp;$B24&amp;" (SKU "&amp;$A24&amp;"). Our current stock is "&amp;TEXT($E24,"0")&amp;"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4" s="32">
        <f>IF($A24="","",$E24*_xlfn.XLOOKUP($A24,'Item Master'!$A$4:$A$53,'Item Master'!$D$4:$D$53,0))</f>
        <v/>
      </c>
    </row>
    <row r="25" ht="32" customHeight="1">
      <c r="A25" s="26">
        <f>IF(INDEX('Item Master'!$A$4:$A$53,17)="","",INDEX('Item Master'!$A$4:$A$53,17))</f>
        <v/>
      </c>
      <c r="B25" s="27">
        <f>IF($A25="","",_xlfn.XLOOKUP($A25,'Item Master'!$A$4:$A$53,'Item Master'!$B$4:$B$53,""))</f>
        <v/>
      </c>
      <c r="C25" s="28">
        <f>IF($A25="","",SUMIFS('Log Transaction'!$E$4:$E$303,'Log Transaction'!$C$4:$C$303,$A25,'Log Transaction'!$D$4:$D$303,"IN"))</f>
        <v/>
      </c>
      <c r="D25" s="28">
        <f>IF($A25="","",SUMIFS('Log Transaction'!$E$4:$E$303,'Log Transaction'!$C$4:$C$303,$A25,'Log Transaction'!$D$4:$D$303,"OUT")+SUMIFS('Log Transaction'!$E$4:$E$303,'Log Transaction'!$C$4:$C$303,$A25,'Log Transaction'!$D$4:$D$303,"SHRINKAGE"))</f>
        <v/>
      </c>
      <c r="E25" s="29">
        <f>IF($A25="","",$C25-$D25)</f>
        <v/>
      </c>
      <c r="F25" s="30">
        <f>IF($A25="","",IF($E25&lt;=_xlfn.XLOOKUP($A25,'Item Master'!$A$4:$A$53,'Item Master'!$F$4:$F$53,0)*0.1,"⚠️ REORDER NOW","✅ IN STOCK"))</f>
        <v/>
      </c>
      <c r="G25" s="31">
        <f>IF($A25="","",IF($F25="⚠️ REORDER NOW",HYPERLINK("https://wa.me/"&amp;SUBSTITUTE(SUBSTITUTE(SUBSTITUTE(SUBSTITUTE(SUBSTITUTE(SUBSTITUTE(_xlfn.XLOOKUP($A25,'Item Master'!$A$4:$A$53,'Item Master'!$I$4:$I$53,""),"+",""),"-","")," ",""),"(",""),")",""),".","")&amp;"?text="&amp;SUBSTITUTE("Hello "&amp;_xlfn.XLOOKUP($A25,'Item Master'!$A$4:$A$53,'Item Master'!$H$4:$H$53,"Supplier")&amp;", we urgently need more "&amp;$B25&amp;". Current stock is only "&amp;TEXT($E25,"0")&amp;" units. Please confirm availability and your fastest lead time. Thank you - Momentum Mind Store."," ","%20"),"💬  ORDER NOW"),""))</f>
        <v/>
      </c>
      <c r="H25" s="31">
        <f>IF($A25="","",IF($F25="⚠️ REORDER NOW",HYPERLINK("mailto:"&amp;_xlfn.XLOOKUP($A25,'Item Master'!$A$4:$A$53,'Item Master'!$J$4:$J$53,"")&amp;"?subject="&amp;SUBSTITUTE("URGENT restock request - "&amp;$B25&amp;" ("&amp;$A25&amp;")"," ","%20")&amp;"&amp;body="&amp;SUBSTITUTE(SUBSTITUTE("Hello "&amp;_xlfn.XLOOKUP($A25,'Item Master'!$A$4:$A$53,'Item Master'!$H$4:$H$53,"Supplier")&amp;"," &amp; CHAR(10) &amp; "We urgently need to restock "&amp;$B25&amp;" (SKU "&amp;$A25&amp;"). Our current stock is "&amp;TEXT($E25,"0")&amp;"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5" s="32">
        <f>IF($A25="","",$E25*_xlfn.XLOOKUP($A25,'Item Master'!$A$4:$A$53,'Item Master'!$D$4:$D$53,0))</f>
        <v/>
      </c>
    </row>
    <row r="26" ht="32" customHeight="1">
      <c r="A26" s="26">
        <f>IF(INDEX('Item Master'!$A$4:$A$53,18)="","",INDEX('Item Master'!$A$4:$A$53,18))</f>
        <v/>
      </c>
      <c r="B26" s="27">
        <f>IF($A26="","",_xlfn.XLOOKUP($A26,'Item Master'!$A$4:$A$53,'Item Master'!$B$4:$B$53,""))</f>
        <v/>
      </c>
      <c r="C26" s="28">
        <f>IF($A26="","",SUMIFS('Log Transaction'!$E$4:$E$303,'Log Transaction'!$C$4:$C$303,$A26,'Log Transaction'!$D$4:$D$303,"IN"))</f>
        <v/>
      </c>
      <c r="D26" s="28">
        <f>IF($A26="","",SUMIFS('Log Transaction'!$E$4:$E$303,'Log Transaction'!$C$4:$C$303,$A26,'Log Transaction'!$D$4:$D$303,"OUT")+SUMIFS('Log Transaction'!$E$4:$E$303,'Log Transaction'!$C$4:$C$303,$A26,'Log Transaction'!$D$4:$D$303,"SHRINKAGE"))</f>
        <v/>
      </c>
      <c r="E26" s="29">
        <f>IF($A26="","",$C26-$D26)</f>
        <v/>
      </c>
      <c r="F26" s="30">
        <f>IF($A26="","",IF($E26&lt;=_xlfn.XLOOKUP($A26,'Item Master'!$A$4:$A$53,'Item Master'!$F$4:$F$53,0)*0.1,"⚠️ REORDER NOW","✅ IN STOCK"))</f>
        <v/>
      </c>
      <c r="G26" s="31">
        <f>IF($A26="","",IF($F26="⚠️ REORDER NOW",HYPERLINK("https://wa.me/"&amp;SUBSTITUTE(SUBSTITUTE(SUBSTITUTE(SUBSTITUTE(SUBSTITUTE(SUBSTITUTE(_xlfn.XLOOKUP($A26,'Item Master'!$A$4:$A$53,'Item Master'!$I$4:$I$53,""),"+",""),"-","")," ",""),"(",""),")",""),".","")&amp;"?text="&amp;SUBSTITUTE("Hello "&amp;_xlfn.XLOOKUP($A26,'Item Master'!$A$4:$A$53,'Item Master'!$H$4:$H$53,"Supplier")&amp;", we urgently need more "&amp;$B26&amp;". Current stock is only "&amp;TEXT($E26,"0")&amp;" units. Please confirm availability and your fastest lead time. Thank you - Momentum Mind Store."," ","%20"),"💬  ORDER NOW"),""))</f>
        <v/>
      </c>
      <c r="H26" s="31">
        <f>IF($A26="","",IF($F26="⚠️ REORDER NOW",HYPERLINK("mailto:"&amp;_xlfn.XLOOKUP($A26,'Item Master'!$A$4:$A$53,'Item Master'!$J$4:$J$53,"")&amp;"?subject="&amp;SUBSTITUTE("URGENT restock request - "&amp;$B26&amp;" ("&amp;$A26&amp;")"," ","%20")&amp;"&amp;body="&amp;SUBSTITUTE(SUBSTITUTE("Hello "&amp;_xlfn.XLOOKUP($A26,'Item Master'!$A$4:$A$53,'Item Master'!$H$4:$H$53,"Supplier")&amp;"," &amp; CHAR(10) &amp; "We urgently need to restock "&amp;$B26&amp;" (SKU "&amp;$A26&amp;"). Our current stock is "&amp;TEXT($E26,"0")&amp;"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6" s="32">
        <f>IF($A26="","",$E26*_xlfn.XLOOKUP($A26,'Item Master'!$A$4:$A$53,'Item Master'!$D$4:$D$53,0))</f>
        <v/>
      </c>
    </row>
    <row r="27" ht="32" customHeight="1">
      <c r="A27" s="26">
        <f>IF(INDEX('Item Master'!$A$4:$A$53,19)="","",INDEX('Item Master'!$A$4:$A$53,19))</f>
        <v/>
      </c>
      <c r="B27" s="27">
        <f>IF($A27="","",_xlfn.XLOOKUP($A27,'Item Master'!$A$4:$A$53,'Item Master'!$B$4:$B$53,""))</f>
        <v/>
      </c>
      <c r="C27" s="28">
        <f>IF($A27="","",SUMIFS('Log Transaction'!$E$4:$E$303,'Log Transaction'!$C$4:$C$303,$A27,'Log Transaction'!$D$4:$D$303,"IN"))</f>
        <v/>
      </c>
      <c r="D27" s="28">
        <f>IF($A27="","",SUMIFS('Log Transaction'!$E$4:$E$303,'Log Transaction'!$C$4:$C$303,$A27,'Log Transaction'!$D$4:$D$303,"OUT")+SUMIFS('Log Transaction'!$E$4:$E$303,'Log Transaction'!$C$4:$C$303,$A27,'Log Transaction'!$D$4:$D$303,"SHRINKAGE"))</f>
        <v/>
      </c>
      <c r="E27" s="29">
        <f>IF($A27="","",$C27-$D27)</f>
        <v/>
      </c>
      <c r="F27" s="30">
        <f>IF($A27="","",IF($E27&lt;=_xlfn.XLOOKUP($A27,'Item Master'!$A$4:$A$53,'Item Master'!$F$4:$F$53,0)*0.1,"⚠️ REORDER NOW","✅ IN STOCK"))</f>
        <v/>
      </c>
      <c r="G27" s="31">
        <f>IF($A27="","",IF($F27="⚠️ REORDER NOW",HYPERLINK("https://wa.me/"&amp;SUBSTITUTE(SUBSTITUTE(SUBSTITUTE(SUBSTITUTE(SUBSTITUTE(SUBSTITUTE(_xlfn.XLOOKUP($A27,'Item Master'!$A$4:$A$53,'Item Master'!$I$4:$I$53,""),"+",""),"-","")," ",""),"(",""),")",""),".","")&amp;"?text="&amp;SUBSTITUTE("Hello "&amp;_xlfn.XLOOKUP($A27,'Item Master'!$A$4:$A$53,'Item Master'!$H$4:$H$53,"Supplier")&amp;", we urgently need more "&amp;$B27&amp;". Current stock is only "&amp;TEXT($E27,"0")&amp;" units. Please confirm availability and your fastest lead time. Thank you - Momentum Mind Store."," ","%20"),"💬  ORDER NOW"),""))</f>
        <v/>
      </c>
      <c r="H27" s="31">
        <f>IF($A27="","",IF($F27="⚠️ REORDER NOW",HYPERLINK("mailto:"&amp;_xlfn.XLOOKUP($A27,'Item Master'!$A$4:$A$53,'Item Master'!$J$4:$J$53,"")&amp;"?subject="&amp;SUBSTITUTE("URGENT restock request - "&amp;$B27&amp;" ("&amp;$A27&amp;")"," ","%20")&amp;"&amp;body="&amp;SUBSTITUTE(SUBSTITUTE("Hello "&amp;_xlfn.XLOOKUP($A27,'Item Master'!$A$4:$A$53,'Item Master'!$H$4:$H$53,"Supplier")&amp;"," &amp; CHAR(10) &amp; "We urgently need to restock "&amp;$B27&amp;" (SKU "&amp;$A27&amp;"). Our current stock is "&amp;TEXT($E27,"0")&amp;"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7" s="32">
        <f>IF($A27="","",$E27*_xlfn.XLOOKUP($A27,'Item Master'!$A$4:$A$53,'Item Master'!$D$4:$D$53,0))</f>
        <v/>
      </c>
    </row>
    <row r="28" ht="32" customHeight="1">
      <c r="A28" s="26">
        <f>IF(INDEX('Item Master'!$A$4:$A$53,20)="","",INDEX('Item Master'!$A$4:$A$53,20))</f>
        <v/>
      </c>
      <c r="B28" s="27">
        <f>IF($A28="","",_xlfn.XLOOKUP($A28,'Item Master'!$A$4:$A$53,'Item Master'!$B$4:$B$53,""))</f>
        <v/>
      </c>
      <c r="C28" s="28">
        <f>IF($A28="","",SUMIFS('Log Transaction'!$E$4:$E$303,'Log Transaction'!$C$4:$C$303,$A28,'Log Transaction'!$D$4:$D$303,"IN"))</f>
        <v/>
      </c>
      <c r="D28" s="28">
        <f>IF($A28="","",SUMIFS('Log Transaction'!$E$4:$E$303,'Log Transaction'!$C$4:$C$303,$A28,'Log Transaction'!$D$4:$D$303,"OUT")+SUMIFS('Log Transaction'!$E$4:$E$303,'Log Transaction'!$C$4:$C$303,$A28,'Log Transaction'!$D$4:$D$303,"SHRINKAGE"))</f>
        <v/>
      </c>
      <c r="E28" s="29">
        <f>IF($A28="","",$C28-$D28)</f>
        <v/>
      </c>
      <c r="F28" s="30">
        <f>IF($A28="","",IF($E28&lt;=_xlfn.XLOOKUP($A28,'Item Master'!$A$4:$A$53,'Item Master'!$F$4:$F$53,0)*0.1,"⚠️ REORDER NOW","✅ IN STOCK"))</f>
        <v/>
      </c>
      <c r="G28" s="31">
        <f>IF($A28="","",IF($F28="⚠️ REORDER NOW",HYPERLINK("https://wa.me/"&amp;SUBSTITUTE(SUBSTITUTE(SUBSTITUTE(SUBSTITUTE(SUBSTITUTE(SUBSTITUTE(_xlfn.XLOOKUP($A28,'Item Master'!$A$4:$A$53,'Item Master'!$I$4:$I$53,""),"+",""),"-","")," ",""),"(",""),")",""),".","")&amp;"?text="&amp;SUBSTITUTE("Hello "&amp;_xlfn.XLOOKUP($A28,'Item Master'!$A$4:$A$53,'Item Master'!$H$4:$H$53,"Supplier")&amp;", we urgently need more "&amp;$B28&amp;". Current stock is only "&amp;TEXT($E28,"0")&amp;" units. Please confirm availability and your fastest lead time. Thank you - Momentum Mind Store."," ","%20"),"💬  ORDER NOW"),""))</f>
        <v/>
      </c>
      <c r="H28" s="31">
        <f>IF($A28="","",IF($F28="⚠️ REORDER NOW",HYPERLINK("mailto:"&amp;_xlfn.XLOOKUP($A28,'Item Master'!$A$4:$A$53,'Item Master'!$J$4:$J$53,"")&amp;"?subject="&amp;SUBSTITUTE("URGENT restock request - "&amp;$B28&amp;" ("&amp;$A28&amp;")"," ","%20")&amp;"&amp;body="&amp;SUBSTITUTE(SUBSTITUTE("Hello "&amp;_xlfn.XLOOKUP($A28,'Item Master'!$A$4:$A$53,'Item Master'!$H$4:$H$53,"Supplier")&amp;"," &amp; CHAR(10) &amp; "We urgently need to restock "&amp;$B28&amp;" (SKU "&amp;$A28&amp;"). Our current stock is "&amp;TEXT($E28,"0")&amp;"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8" s="32">
        <f>IF($A28="","",$E28*_xlfn.XLOOKUP($A28,'Item Master'!$A$4:$A$53,'Item Master'!$D$4:$D$53,0))</f>
        <v/>
      </c>
    </row>
    <row r="29" ht="32" customHeight="1">
      <c r="A29" s="26">
        <f>IF(INDEX('Item Master'!$A$4:$A$53,21)="","",INDEX('Item Master'!$A$4:$A$53,21))</f>
        <v/>
      </c>
      <c r="B29" s="27">
        <f>IF($A29="","",_xlfn.XLOOKUP($A29,'Item Master'!$A$4:$A$53,'Item Master'!$B$4:$B$53,""))</f>
        <v/>
      </c>
      <c r="C29" s="28">
        <f>IF($A29="","",SUMIFS('Log Transaction'!$E$4:$E$303,'Log Transaction'!$C$4:$C$303,$A29,'Log Transaction'!$D$4:$D$303,"IN"))</f>
        <v/>
      </c>
      <c r="D29" s="28">
        <f>IF($A29="","",SUMIFS('Log Transaction'!$E$4:$E$303,'Log Transaction'!$C$4:$C$303,$A29,'Log Transaction'!$D$4:$D$303,"OUT")+SUMIFS('Log Transaction'!$E$4:$E$303,'Log Transaction'!$C$4:$C$303,$A29,'Log Transaction'!$D$4:$D$303,"SHRINKAGE"))</f>
        <v/>
      </c>
      <c r="E29" s="29">
        <f>IF($A29="","",$C29-$D29)</f>
        <v/>
      </c>
      <c r="F29" s="30">
        <f>IF($A29="","",IF($E29&lt;=_xlfn.XLOOKUP($A29,'Item Master'!$A$4:$A$53,'Item Master'!$F$4:$F$53,0)*0.1,"⚠️ REORDER NOW","✅ IN STOCK"))</f>
        <v/>
      </c>
      <c r="G29" s="31">
        <f>IF($A29="","",IF($F29="⚠️ REORDER NOW",HYPERLINK("https://wa.me/"&amp;SUBSTITUTE(SUBSTITUTE(SUBSTITUTE(SUBSTITUTE(SUBSTITUTE(SUBSTITUTE(_xlfn.XLOOKUP($A29,'Item Master'!$A$4:$A$53,'Item Master'!$I$4:$I$53,""),"+",""),"-","")," ",""),"(",""),")",""),".","")&amp;"?text="&amp;SUBSTITUTE("Hello "&amp;_xlfn.XLOOKUP($A29,'Item Master'!$A$4:$A$53,'Item Master'!$H$4:$H$53,"Supplier")&amp;", we urgently need more "&amp;$B29&amp;". Current stock is only "&amp;TEXT($E29,"0")&amp;" units. Please confirm availability and your fastest lead time. Thank you - Momentum Mind Store."," ","%20"),"💬  ORDER NOW"),""))</f>
        <v/>
      </c>
      <c r="H29" s="31">
        <f>IF($A29="","",IF($F29="⚠️ REORDER NOW",HYPERLINK("mailto:"&amp;_xlfn.XLOOKUP($A29,'Item Master'!$A$4:$A$53,'Item Master'!$J$4:$J$53,"")&amp;"?subject="&amp;SUBSTITUTE("URGENT restock request - "&amp;$B29&amp;" ("&amp;$A29&amp;")"," ","%20")&amp;"&amp;body="&amp;SUBSTITUTE(SUBSTITUTE("Hello "&amp;_xlfn.XLOOKUP($A29,'Item Master'!$A$4:$A$53,'Item Master'!$H$4:$H$53,"Supplier")&amp;"," &amp; CHAR(10) &amp; "We urgently need to restock "&amp;$B29&amp;" (SKU "&amp;$A29&amp;"). Our current stock is "&amp;TEXT($E29,"0")&amp;"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29" s="32">
        <f>IF($A29="","",$E29*_xlfn.XLOOKUP($A29,'Item Master'!$A$4:$A$53,'Item Master'!$D$4:$D$53,0))</f>
        <v/>
      </c>
    </row>
    <row r="30" ht="32" customHeight="1">
      <c r="A30" s="26">
        <f>IF(INDEX('Item Master'!$A$4:$A$53,22)="","",INDEX('Item Master'!$A$4:$A$53,22))</f>
        <v/>
      </c>
      <c r="B30" s="27">
        <f>IF($A30="","",_xlfn.XLOOKUP($A30,'Item Master'!$A$4:$A$53,'Item Master'!$B$4:$B$53,""))</f>
        <v/>
      </c>
      <c r="C30" s="28">
        <f>IF($A30="","",SUMIFS('Log Transaction'!$E$4:$E$303,'Log Transaction'!$C$4:$C$303,$A30,'Log Transaction'!$D$4:$D$303,"IN"))</f>
        <v/>
      </c>
      <c r="D30" s="28">
        <f>IF($A30="","",SUMIFS('Log Transaction'!$E$4:$E$303,'Log Transaction'!$C$4:$C$303,$A30,'Log Transaction'!$D$4:$D$303,"OUT")+SUMIFS('Log Transaction'!$E$4:$E$303,'Log Transaction'!$C$4:$C$303,$A30,'Log Transaction'!$D$4:$D$303,"SHRINKAGE"))</f>
        <v/>
      </c>
      <c r="E30" s="29">
        <f>IF($A30="","",$C30-$D30)</f>
        <v/>
      </c>
      <c r="F30" s="30">
        <f>IF($A30="","",IF($E30&lt;=_xlfn.XLOOKUP($A30,'Item Master'!$A$4:$A$53,'Item Master'!$F$4:$F$53,0)*0.1,"⚠️ REORDER NOW","✅ IN STOCK"))</f>
        <v/>
      </c>
      <c r="G30" s="31">
        <f>IF($A30="","",IF($F30="⚠️ REORDER NOW",HYPERLINK("https://wa.me/"&amp;SUBSTITUTE(SUBSTITUTE(SUBSTITUTE(SUBSTITUTE(SUBSTITUTE(SUBSTITUTE(_xlfn.XLOOKUP($A30,'Item Master'!$A$4:$A$53,'Item Master'!$I$4:$I$53,""),"+",""),"-","")," ",""),"(",""),")",""),".","")&amp;"?text="&amp;SUBSTITUTE("Hello "&amp;_xlfn.XLOOKUP($A30,'Item Master'!$A$4:$A$53,'Item Master'!$H$4:$H$53,"Supplier")&amp;", we urgently need more "&amp;$B30&amp;". Current stock is only "&amp;TEXT($E30,"0")&amp;" units. Please confirm availability and your fastest lead time. Thank you - Momentum Mind Store."," ","%20"),"💬  ORDER NOW"),""))</f>
        <v/>
      </c>
      <c r="H30" s="31">
        <f>IF($A30="","",IF($F30="⚠️ REORDER NOW",HYPERLINK("mailto:"&amp;_xlfn.XLOOKUP($A30,'Item Master'!$A$4:$A$53,'Item Master'!$J$4:$J$53,"")&amp;"?subject="&amp;SUBSTITUTE("URGENT restock request - "&amp;$B30&amp;" ("&amp;$A30&amp;")"," ","%20")&amp;"&amp;body="&amp;SUBSTITUTE(SUBSTITUTE("Hello "&amp;_xlfn.XLOOKUP($A30,'Item Master'!$A$4:$A$53,'Item Master'!$H$4:$H$53,"Supplier")&amp;"," &amp; CHAR(10) &amp; "We urgently need to restock "&amp;$B30&amp;" (SKU "&amp;$A30&amp;"). Our current stock is "&amp;TEXT($E30,"0")&amp;"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0" s="32">
        <f>IF($A30="","",$E30*_xlfn.XLOOKUP($A30,'Item Master'!$A$4:$A$53,'Item Master'!$D$4:$D$53,0))</f>
        <v/>
      </c>
    </row>
    <row r="31" ht="32" customHeight="1">
      <c r="A31" s="26">
        <f>IF(INDEX('Item Master'!$A$4:$A$53,23)="","",INDEX('Item Master'!$A$4:$A$53,23))</f>
        <v/>
      </c>
      <c r="B31" s="27">
        <f>IF($A31="","",_xlfn.XLOOKUP($A31,'Item Master'!$A$4:$A$53,'Item Master'!$B$4:$B$53,""))</f>
        <v/>
      </c>
      <c r="C31" s="28">
        <f>IF($A31="","",SUMIFS('Log Transaction'!$E$4:$E$303,'Log Transaction'!$C$4:$C$303,$A31,'Log Transaction'!$D$4:$D$303,"IN"))</f>
        <v/>
      </c>
      <c r="D31" s="28">
        <f>IF($A31="","",SUMIFS('Log Transaction'!$E$4:$E$303,'Log Transaction'!$C$4:$C$303,$A31,'Log Transaction'!$D$4:$D$303,"OUT")+SUMIFS('Log Transaction'!$E$4:$E$303,'Log Transaction'!$C$4:$C$303,$A31,'Log Transaction'!$D$4:$D$303,"SHRINKAGE"))</f>
        <v/>
      </c>
      <c r="E31" s="29">
        <f>IF($A31="","",$C31-$D31)</f>
        <v/>
      </c>
      <c r="F31" s="30">
        <f>IF($A31="","",IF($E31&lt;=_xlfn.XLOOKUP($A31,'Item Master'!$A$4:$A$53,'Item Master'!$F$4:$F$53,0)*0.1,"⚠️ REORDER NOW","✅ IN STOCK"))</f>
        <v/>
      </c>
      <c r="G31" s="31">
        <f>IF($A31="","",IF($F31="⚠️ REORDER NOW",HYPERLINK("https://wa.me/"&amp;SUBSTITUTE(SUBSTITUTE(SUBSTITUTE(SUBSTITUTE(SUBSTITUTE(SUBSTITUTE(_xlfn.XLOOKUP($A31,'Item Master'!$A$4:$A$53,'Item Master'!$I$4:$I$53,""),"+",""),"-","")," ",""),"(",""),")",""),".","")&amp;"?text="&amp;SUBSTITUTE("Hello "&amp;_xlfn.XLOOKUP($A31,'Item Master'!$A$4:$A$53,'Item Master'!$H$4:$H$53,"Supplier")&amp;", we urgently need more "&amp;$B31&amp;". Current stock is only "&amp;TEXT($E31,"0")&amp;" units. Please confirm availability and your fastest lead time. Thank you - Momentum Mind Store."," ","%20"),"💬  ORDER NOW"),""))</f>
        <v/>
      </c>
      <c r="H31" s="31">
        <f>IF($A31="","",IF($F31="⚠️ REORDER NOW",HYPERLINK("mailto:"&amp;_xlfn.XLOOKUP($A31,'Item Master'!$A$4:$A$53,'Item Master'!$J$4:$J$53,"")&amp;"?subject="&amp;SUBSTITUTE("URGENT restock request - "&amp;$B31&amp;" ("&amp;$A31&amp;")"," ","%20")&amp;"&amp;body="&amp;SUBSTITUTE(SUBSTITUTE("Hello "&amp;_xlfn.XLOOKUP($A31,'Item Master'!$A$4:$A$53,'Item Master'!$H$4:$H$53,"Supplier")&amp;"," &amp; CHAR(10) &amp; "We urgently need to restock "&amp;$B31&amp;" (SKU "&amp;$A31&amp;"). Our current stock is "&amp;TEXT($E31,"0")&amp;"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1" s="32">
        <f>IF($A31="","",$E31*_xlfn.XLOOKUP($A31,'Item Master'!$A$4:$A$53,'Item Master'!$D$4:$D$53,0))</f>
        <v/>
      </c>
    </row>
    <row r="32" ht="32" customHeight="1">
      <c r="A32" s="26">
        <f>IF(INDEX('Item Master'!$A$4:$A$53,24)="","",INDEX('Item Master'!$A$4:$A$53,24))</f>
        <v/>
      </c>
      <c r="B32" s="27">
        <f>IF($A32="","",_xlfn.XLOOKUP($A32,'Item Master'!$A$4:$A$53,'Item Master'!$B$4:$B$53,""))</f>
        <v/>
      </c>
      <c r="C32" s="28">
        <f>IF($A32="","",SUMIFS('Log Transaction'!$E$4:$E$303,'Log Transaction'!$C$4:$C$303,$A32,'Log Transaction'!$D$4:$D$303,"IN"))</f>
        <v/>
      </c>
      <c r="D32" s="28">
        <f>IF($A32="","",SUMIFS('Log Transaction'!$E$4:$E$303,'Log Transaction'!$C$4:$C$303,$A32,'Log Transaction'!$D$4:$D$303,"OUT")+SUMIFS('Log Transaction'!$E$4:$E$303,'Log Transaction'!$C$4:$C$303,$A32,'Log Transaction'!$D$4:$D$303,"SHRINKAGE"))</f>
        <v/>
      </c>
      <c r="E32" s="29">
        <f>IF($A32="","",$C32-$D32)</f>
        <v/>
      </c>
      <c r="F32" s="30">
        <f>IF($A32="","",IF($E32&lt;=_xlfn.XLOOKUP($A32,'Item Master'!$A$4:$A$53,'Item Master'!$F$4:$F$53,0)*0.1,"⚠️ REORDER NOW","✅ IN STOCK"))</f>
        <v/>
      </c>
      <c r="G32" s="31">
        <f>IF($A32="","",IF($F32="⚠️ REORDER NOW",HYPERLINK("https://wa.me/"&amp;SUBSTITUTE(SUBSTITUTE(SUBSTITUTE(SUBSTITUTE(SUBSTITUTE(SUBSTITUTE(_xlfn.XLOOKUP($A32,'Item Master'!$A$4:$A$53,'Item Master'!$I$4:$I$53,""),"+",""),"-","")," ",""),"(",""),")",""),".","")&amp;"?text="&amp;SUBSTITUTE("Hello "&amp;_xlfn.XLOOKUP($A32,'Item Master'!$A$4:$A$53,'Item Master'!$H$4:$H$53,"Supplier")&amp;", we urgently need more "&amp;$B32&amp;". Current stock is only "&amp;TEXT($E32,"0")&amp;" units. Please confirm availability and your fastest lead time. Thank you - Momentum Mind Store."," ","%20"),"💬  ORDER NOW"),""))</f>
        <v/>
      </c>
      <c r="H32" s="31">
        <f>IF($A32="","",IF($F32="⚠️ REORDER NOW",HYPERLINK("mailto:"&amp;_xlfn.XLOOKUP($A32,'Item Master'!$A$4:$A$53,'Item Master'!$J$4:$J$53,"")&amp;"?subject="&amp;SUBSTITUTE("URGENT restock request - "&amp;$B32&amp;" ("&amp;$A32&amp;")"," ","%20")&amp;"&amp;body="&amp;SUBSTITUTE(SUBSTITUTE("Hello "&amp;_xlfn.XLOOKUP($A32,'Item Master'!$A$4:$A$53,'Item Master'!$H$4:$H$53,"Supplier")&amp;"," &amp; CHAR(10) &amp; "We urgently need to restock "&amp;$B32&amp;" (SKU "&amp;$A32&amp;"). Our current stock is "&amp;TEXT($E32,"0")&amp;"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2" s="32">
        <f>IF($A32="","",$E32*_xlfn.XLOOKUP($A32,'Item Master'!$A$4:$A$53,'Item Master'!$D$4:$D$53,0))</f>
        <v/>
      </c>
    </row>
    <row r="33" ht="32" customHeight="1">
      <c r="A33" s="26">
        <f>IF(INDEX('Item Master'!$A$4:$A$53,25)="","",INDEX('Item Master'!$A$4:$A$53,25))</f>
        <v/>
      </c>
      <c r="B33" s="27">
        <f>IF($A33="","",_xlfn.XLOOKUP($A33,'Item Master'!$A$4:$A$53,'Item Master'!$B$4:$B$53,""))</f>
        <v/>
      </c>
      <c r="C33" s="28">
        <f>IF($A33="","",SUMIFS('Log Transaction'!$E$4:$E$303,'Log Transaction'!$C$4:$C$303,$A33,'Log Transaction'!$D$4:$D$303,"IN"))</f>
        <v/>
      </c>
      <c r="D33" s="28">
        <f>IF($A33="","",SUMIFS('Log Transaction'!$E$4:$E$303,'Log Transaction'!$C$4:$C$303,$A33,'Log Transaction'!$D$4:$D$303,"OUT")+SUMIFS('Log Transaction'!$E$4:$E$303,'Log Transaction'!$C$4:$C$303,$A33,'Log Transaction'!$D$4:$D$303,"SHRINKAGE"))</f>
        <v/>
      </c>
      <c r="E33" s="29">
        <f>IF($A33="","",$C33-$D33)</f>
        <v/>
      </c>
      <c r="F33" s="30">
        <f>IF($A33="","",IF($E33&lt;=_xlfn.XLOOKUP($A33,'Item Master'!$A$4:$A$53,'Item Master'!$F$4:$F$53,0)*0.1,"⚠️ REORDER NOW","✅ IN STOCK"))</f>
        <v/>
      </c>
      <c r="G33" s="31">
        <f>IF($A33="","",IF($F33="⚠️ REORDER NOW",HYPERLINK("https://wa.me/"&amp;SUBSTITUTE(SUBSTITUTE(SUBSTITUTE(SUBSTITUTE(SUBSTITUTE(SUBSTITUTE(_xlfn.XLOOKUP($A33,'Item Master'!$A$4:$A$53,'Item Master'!$I$4:$I$53,""),"+",""),"-","")," ",""),"(",""),")",""),".","")&amp;"?text="&amp;SUBSTITUTE("Hello "&amp;_xlfn.XLOOKUP($A33,'Item Master'!$A$4:$A$53,'Item Master'!$H$4:$H$53,"Supplier")&amp;", we urgently need more "&amp;$B33&amp;". Current stock is only "&amp;TEXT($E33,"0")&amp;" units. Please confirm availability and your fastest lead time. Thank you - Momentum Mind Store."," ","%20"),"💬  ORDER NOW"),""))</f>
        <v/>
      </c>
      <c r="H33" s="31">
        <f>IF($A33="","",IF($F33="⚠️ REORDER NOW",HYPERLINK("mailto:"&amp;_xlfn.XLOOKUP($A33,'Item Master'!$A$4:$A$53,'Item Master'!$J$4:$J$53,"")&amp;"?subject="&amp;SUBSTITUTE("URGENT restock request - "&amp;$B33&amp;" ("&amp;$A33&amp;")"," ","%20")&amp;"&amp;body="&amp;SUBSTITUTE(SUBSTITUTE("Hello "&amp;_xlfn.XLOOKUP($A33,'Item Master'!$A$4:$A$53,'Item Master'!$H$4:$H$53,"Supplier")&amp;"," &amp; CHAR(10) &amp; "We urgently need to restock "&amp;$B33&amp;" (SKU "&amp;$A33&amp;"). Our current stock is "&amp;TEXT($E33,"0")&amp;"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3" s="32">
        <f>IF($A33="","",$E33*_xlfn.XLOOKUP($A33,'Item Master'!$A$4:$A$53,'Item Master'!$D$4:$D$53,0))</f>
        <v/>
      </c>
    </row>
    <row r="34" ht="32" customHeight="1">
      <c r="A34" s="26">
        <f>IF(INDEX('Item Master'!$A$4:$A$53,26)="","",INDEX('Item Master'!$A$4:$A$53,26))</f>
        <v/>
      </c>
      <c r="B34" s="27">
        <f>IF($A34="","",_xlfn.XLOOKUP($A34,'Item Master'!$A$4:$A$53,'Item Master'!$B$4:$B$53,""))</f>
        <v/>
      </c>
      <c r="C34" s="28">
        <f>IF($A34="","",SUMIFS('Log Transaction'!$E$4:$E$303,'Log Transaction'!$C$4:$C$303,$A34,'Log Transaction'!$D$4:$D$303,"IN"))</f>
        <v/>
      </c>
      <c r="D34" s="28">
        <f>IF($A34="","",SUMIFS('Log Transaction'!$E$4:$E$303,'Log Transaction'!$C$4:$C$303,$A34,'Log Transaction'!$D$4:$D$303,"OUT")+SUMIFS('Log Transaction'!$E$4:$E$303,'Log Transaction'!$C$4:$C$303,$A34,'Log Transaction'!$D$4:$D$303,"SHRINKAGE"))</f>
        <v/>
      </c>
      <c r="E34" s="29">
        <f>IF($A34="","",$C34-$D34)</f>
        <v/>
      </c>
      <c r="F34" s="30">
        <f>IF($A34="","",IF($E34&lt;=_xlfn.XLOOKUP($A34,'Item Master'!$A$4:$A$53,'Item Master'!$F$4:$F$53,0)*0.1,"⚠️ REORDER NOW","✅ IN STOCK"))</f>
        <v/>
      </c>
      <c r="G34" s="31">
        <f>IF($A34="","",IF($F34="⚠️ REORDER NOW",HYPERLINK("https://wa.me/"&amp;SUBSTITUTE(SUBSTITUTE(SUBSTITUTE(SUBSTITUTE(SUBSTITUTE(SUBSTITUTE(_xlfn.XLOOKUP($A34,'Item Master'!$A$4:$A$53,'Item Master'!$I$4:$I$53,""),"+",""),"-","")," ",""),"(",""),")",""),".","")&amp;"?text="&amp;SUBSTITUTE("Hello "&amp;_xlfn.XLOOKUP($A34,'Item Master'!$A$4:$A$53,'Item Master'!$H$4:$H$53,"Supplier")&amp;", we urgently need more "&amp;$B34&amp;". Current stock is only "&amp;TEXT($E34,"0")&amp;" units. Please confirm availability and your fastest lead time. Thank you - Momentum Mind Store."," ","%20"),"💬  ORDER NOW"),""))</f>
        <v/>
      </c>
      <c r="H34" s="31">
        <f>IF($A34="","",IF($F34="⚠️ REORDER NOW",HYPERLINK("mailto:"&amp;_xlfn.XLOOKUP($A34,'Item Master'!$A$4:$A$53,'Item Master'!$J$4:$J$53,"")&amp;"?subject="&amp;SUBSTITUTE("URGENT restock request - "&amp;$B34&amp;" ("&amp;$A34&amp;")"," ","%20")&amp;"&amp;body="&amp;SUBSTITUTE(SUBSTITUTE("Hello "&amp;_xlfn.XLOOKUP($A34,'Item Master'!$A$4:$A$53,'Item Master'!$H$4:$H$53,"Supplier")&amp;"," &amp; CHAR(10) &amp; "We urgently need to restock "&amp;$B34&amp;" (SKU "&amp;$A34&amp;"). Our current stock is "&amp;TEXT($E34,"0")&amp;"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4" s="32">
        <f>IF($A34="","",$E34*_xlfn.XLOOKUP($A34,'Item Master'!$A$4:$A$53,'Item Master'!$D$4:$D$53,0))</f>
        <v/>
      </c>
    </row>
    <row r="35" ht="32" customHeight="1">
      <c r="A35" s="26">
        <f>IF(INDEX('Item Master'!$A$4:$A$53,27)="","",INDEX('Item Master'!$A$4:$A$53,27))</f>
        <v/>
      </c>
      <c r="B35" s="27">
        <f>IF($A35="","",_xlfn.XLOOKUP($A35,'Item Master'!$A$4:$A$53,'Item Master'!$B$4:$B$53,""))</f>
        <v/>
      </c>
      <c r="C35" s="28">
        <f>IF($A35="","",SUMIFS('Log Transaction'!$E$4:$E$303,'Log Transaction'!$C$4:$C$303,$A35,'Log Transaction'!$D$4:$D$303,"IN"))</f>
        <v/>
      </c>
      <c r="D35" s="28">
        <f>IF($A35="","",SUMIFS('Log Transaction'!$E$4:$E$303,'Log Transaction'!$C$4:$C$303,$A35,'Log Transaction'!$D$4:$D$303,"OUT")+SUMIFS('Log Transaction'!$E$4:$E$303,'Log Transaction'!$C$4:$C$303,$A35,'Log Transaction'!$D$4:$D$303,"SHRINKAGE"))</f>
        <v/>
      </c>
      <c r="E35" s="29">
        <f>IF($A35="","",$C35-$D35)</f>
        <v/>
      </c>
      <c r="F35" s="30">
        <f>IF($A35="","",IF($E35&lt;=_xlfn.XLOOKUP($A35,'Item Master'!$A$4:$A$53,'Item Master'!$F$4:$F$53,0)*0.1,"⚠️ REORDER NOW","✅ IN STOCK"))</f>
        <v/>
      </c>
      <c r="G35" s="31">
        <f>IF($A35="","",IF($F35="⚠️ REORDER NOW",HYPERLINK("https://wa.me/"&amp;SUBSTITUTE(SUBSTITUTE(SUBSTITUTE(SUBSTITUTE(SUBSTITUTE(SUBSTITUTE(_xlfn.XLOOKUP($A35,'Item Master'!$A$4:$A$53,'Item Master'!$I$4:$I$53,""),"+",""),"-","")," ",""),"(",""),")",""),".","")&amp;"?text="&amp;SUBSTITUTE("Hello "&amp;_xlfn.XLOOKUP($A35,'Item Master'!$A$4:$A$53,'Item Master'!$H$4:$H$53,"Supplier")&amp;", we urgently need more "&amp;$B35&amp;". Current stock is only "&amp;TEXT($E35,"0")&amp;" units. Please confirm availability and your fastest lead time. Thank you - Momentum Mind Store."," ","%20"),"💬  ORDER NOW"),""))</f>
        <v/>
      </c>
      <c r="H35" s="31">
        <f>IF($A35="","",IF($F35="⚠️ REORDER NOW",HYPERLINK("mailto:"&amp;_xlfn.XLOOKUP($A35,'Item Master'!$A$4:$A$53,'Item Master'!$J$4:$J$53,"")&amp;"?subject="&amp;SUBSTITUTE("URGENT restock request - "&amp;$B35&amp;" ("&amp;$A35&amp;")"," ","%20")&amp;"&amp;body="&amp;SUBSTITUTE(SUBSTITUTE("Hello "&amp;_xlfn.XLOOKUP($A35,'Item Master'!$A$4:$A$53,'Item Master'!$H$4:$H$53,"Supplier")&amp;"," &amp; CHAR(10) &amp; "We urgently need to restock "&amp;$B35&amp;" (SKU "&amp;$A35&amp;"). Our current stock is "&amp;TEXT($E35,"0")&amp;"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5" s="32">
        <f>IF($A35="","",$E35*_xlfn.XLOOKUP($A35,'Item Master'!$A$4:$A$53,'Item Master'!$D$4:$D$53,0))</f>
        <v/>
      </c>
    </row>
    <row r="36" ht="32" customHeight="1">
      <c r="A36" s="26">
        <f>IF(INDEX('Item Master'!$A$4:$A$53,28)="","",INDEX('Item Master'!$A$4:$A$53,28))</f>
        <v/>
      </c>
      <c r="B36" s="27">
        <f>IF($A36="","",_xlfn.XLOOKUP($A36,'Item Master'!$A$4:$A$53,'Item Master'!$B$4:$B$53,""))</f>
        <v/>
      </c>
      <c r="C36" s="28">
        <f>IF($A36="","",SUMIFS('Log Transaction'!$E$4:$E$303,'Log Transaction'!$C$4:$C$303,$A36,'Log Transaction'!$D$4:$D$303,"IN"))</f>
        <v/>
      </c>
      <c r="D36" s="28">
        <f>IF($A36="","",SUMIFS('Log Transaction'!$E$4:$E$303,'Log Transaction'!$C$4:$C$303,$A36,'Log Transaction'!$D$4:$D$303,"OUT")+SUMIFS('Log Transaction'!$E$4:$E$303,'Log Transaction'!$C$4:$C$303,$A36,'Log Transaction'!$D$4:$D$303,"SHRINKAGE"))</f>
        <v/>
      </c>
      <c r="E36" s="29">
        <f>IF($A36="","",$C36-$D36)</f>
        <v/>
      </c>
      <c r="F36" s="30">
        <f>IF($A36="","",IF($E36&lt;=_xlfn.XLOOKUP($A36,'Item Master'!$A$4:$A$53,'Item Master'!$F$4:$F$53,0)*0.1,"⚠️ REORDER NOW","✅ IN STOCK"))</f>
        <v/>
      </c>
      <c r="G36" s="31">
        <f>IF($A36="","",IF($F36="⚠️ REORDER NOW",HYPERLINK("https://wa.me/"&amp;SUBSTITUTE(SUBSTITUTE(SUBSTITUTE(SUBSTITUTE(SUBSTITUTE(SUBSTITUTE(_xlfn.XLOOKUP($A36,'Item Master'!$A$4:$A$53,'Item Master'!$I$4:$I$53,""),"+",""),"-","")," ",""),"(",""),")",""),".","")&amp;"?text="&amp;SUBSTITUTE("Hello "&amp;_xlfn.XLOOKUP($A36,'Item Master'!$A$4:$A$53,'Item Master'!$H$4:$H$53,"Supplier")&amp;", we urgently need more "&amp;$B36&amp;". Current stock is only "&amp;TEXT($E36,"0")&amp;" units. Please confirm availability and your fastest lead time. Thank you - Momentum Mind Store."," ","%20"),"💬  ORDER NOW"),""))</f>
        <v/>
      </c>
      <c r="H36" s="31">
        <f>IF($A36="","",IF($F36="⚠️ REORDER NOW",HYPERLINK("mailto:"&amp;_xlfn.XLOOKUP($A36,'Item Master'!$A$4:$A$53,'Item Master'!$J$4:$J$53,"")&amp;"?subject="&amp;SUBSTITUTE("URGENT restock request - "&amp;$B36&amp;" ("&amp;$A36&amp;")"," ","%20")&amp;"&amp;body="&amp;SUBSTITUTE(SUBSTITUTE("Hello "&amp;_xlfn.XLOOKUP($A36,'Item Master'!$A$4:$A$53,'Item Master'!$H$4:$H$53,"Supplier")&amp;"," &amp; CHAR(10) &amp; "We urgently need to restock "&amp;$B36&amp;" (SKU "&amp;$A36&amp;"). Our current stock is "&amp;TEXT($E36,"0")&amp;"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6" s="32">
        <f>IF($A36="","",$E36*_xlfn.XLOOKUP($A36,'Item Master'!$A$4:$A$53,'Item Master'!$D$4:$D$53,0))</f>
        <v/>
      </c>
    </row>
    <row r="37" ht="32" customHeight="1">
      <c r="A37" s="26">
        <f>IF(INDEX('Item Master'!$A$4:$A$53,29)="","",INDEX('Item Master'!$A$4:$A$53,29))</f>
        <v/>
      </c>
      <c r="B37" s="27">
        <f>IF($A37="","",_xlfn.XLOOKUP($A37,'Item Master'!$A$4:$A$53,'Item Master'!$B$4:$B$53,""))</f>
        <v/>
      </c>
      <c r="C37" s="28">
        <f>IF($A37="","",SUMIFS('Log Transaction'!$E$4:$E$303,'Log Transaction'!$C$4:$C$303,$A37,'Log Transaction'!$D$4:$D$303,"IN"))</f>
        <v/>
      </c>
      <c r="D37" s="28">
        <f>IF($A37="","",SUMIFS('Log Transaction'!$E$4:$E$303,'Log Transaction'!$C$4:$C$303,$A37,'Log Transaction'!$D$4:$D$303,"OUT")+SUMIFS('Log Transaction'!$E$4:$E$303,'Log Transaction'!$C$4:$C$303,$A37,'Log Transaction'!$D$4:$D$303,"SHRINKAGE"))</f>
        <v/>
      </c>
      <c r="E37" s="29">
        <f>IF($A37="","",$C37-$D37)</f>
        <v/>
      </c>
      <c r="F37" s="30">
        <f>IF($A37="","",IF($E37&lt;=_xlfn.XLOOKUP($A37,'Item Master'!$A$4:$A$53,'Item Master'!$F$4:$F$53,0)*0.1,"⚠️ REORDER NOW","✅ IN STOCK"))</f>
        <v/>
      </c>
      <c r="G37" s="31">
        <f>IF($A37="","",IF($F37="⚠️ REORDER NOW",HYPERLINK("https://wa.me/"&amp;SUBSTITUTE(SUBSTITUTE(SUBSTITUTE(SUBSTITUTE(SUBSTITUTE(SUBSTITUTE(_xlfn.XLOOKUP($A37,'Item Master'!$A$4:$A$53,'Item Master'!$I$4:$I$53,""),"+",""),"-","")," ",""),"(",""),")",""),".","")&amp;"?text="&amp;SUBSTITUTE("Hello "&amp;_xlfn.XLOOKUP($A37,'Item Master'!$A$4:$A$53,'Item Master'!$H$4:$H$53,"Supplier")&amp;", we urgently need more "&amp;$B37&amp;". Current stock is only "&amp;TEXT($E37,"0")&amp;" units. Please confirm availability and your fastest lead time. Thank you - Momentum Mind Store."," ","%20"),"💬  ORDER NOW"),""))</f>
        <v/>
      </c>
      <c r="H37" s="31">
        <f>IF($A37="","",IF($F37="⚠️ REORDER NOW",HYPERLINK("mailto:"&amp;_xlfn.XLOOKUP($A37,'Item Master'!$A$4:$A$53,'Item Master'!$J$4:$J$53,"")&amp;"?subject="&amp;SUBSTITUTE("URGENT restock request - "&amp;$B37&amp;" ("&amp;$A37&amp;")"," ","%20")&amp;"&amp;body="&amp;SUBSTITUTE(SUBSTITUTE("Hello "&amp;_xlfn.XLOOKUP($A37,'Item Master'!$A$4:$A$53,'Item Master'!$H$4:$H$53,"Supplier")&amp;"," &amp; CHAR(10) &amp; "We urgently need to restock "&amp;$B37&amp;" (SKU "&amp;$A37&amp;"). Our current stock is "&amp;TEXT($E37,"0")&amp;"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7" s="32">
        <f>IF($A37="","",$E37*_xlfn.XLOOKUP($A37,'Item Master'!$A$4:$A$53,'Item Master'!$D$4:$D$53,0))</f>
        <v/>
      </c>
    </row>
    <row r="38" ht="32" customHeight="1">
      <c r="A38" s="26">
        <f>IF(INDEX('Item Master'!$A$4:$A$53,30)="","",INDEX('Item Master'!$A$4:$A$53,30))</f>
        <v/>
      </c>
      <c r="B38" s="27">
        <f>IF($A38="","",_xlfn.XLOOKUP($A38,'Item Master'!$A$4:$A$53,'Item Master'!$B$4:$B$53,""))</f>
        <v/>
      </c>
      <c r="C38" s="28">
        <f>IF($A38="","",SUMIFS('Log Transaction'!$E$4:$E$303,'Log Transaction'!$C$4:$C$303,$A38,'Log Transaction'!$D$4:$D$303,"IN"))</f>
        <v/>
      </c>
      <c r="D38" s="28">
        <f>IF($A38="","",SUMIFS('Log Transaction'!$E$4:$E$303,'Log Transaction'!$C$4:$C$303,$A38,'Log Transaction'!$D$4:$D$303,"OUT")+SUMIFS('Log Transaction'!$E$4:$E$303,'Log Transaction'!$C$4:$C$303,$A38,'Log Transaction'!$D$4:$D$303,"SHRINKAGE"))</f>
        <v/>
      </c>
      <c r="E38" s="29">
        <f>IF($A38="","",$C38-$D38)</f>
        <v/>
      </c>
      <c r="F38" s="30">
        <f>IF($A38="","",IF($E38&lt;=_xlfn.XLOOKUP($A38,'Item Master'!$A$4:$A$53,'Item Master'!$F$4:$F$53,0)*0.1,"⚠️ REORDER NOW","✅ IN STOCK"))</f>
        <v/>
      </c>
      <c r="G38" s="31">
        <f>IF($A38="","",IF($F38="⚠️ REORDER NOW",HYPERLINK("https://wa.me/"&amp;SUBSTITUTE(SUBSTITUTE(SUBSTITUTE(SUBSTITUTE(SUBSTITUTE(SUBSTITUTE(_xlfn.XLOOKUP($A38,'Item Master'!$A$4:$A$53,'Item Master'!$I$4:$I$53,""),"+",""),"-","")," ",""),"(",""),")",""),".","")&amp;"?text="&amp;SUBSTITUTE("Hello "&amp;_xlfn.XLOOKUP($A38,'Item Master'!$A$4:$A$53,'Item Master'!$H$4:$H$53,"Supplier")&amp;", we urgently need more "&amp;$B38&amp;". Current stock is only "&amp;TEXT($E38,"0")&amp;" units. Please confirm availability and your fastest lead time. Thank you - Momentum Mind Store."," ","%20"),"💬  ORDER NOW"),""))</f>
        <v/>
      </c>
      <c r="H38" s="31">
        <f>IF($A38="","",IF($F38="⚠️ REORDER NOW",HYPERLINK("mailto:"&amp;_xlfn.XLOOKUP($A38,'Item Master'!$A$4:$A$53,'Item Master'!$J$4:$J$53,"")&amp;"?subject="&amp;SUBSTITUTE("URGENT restock request - "&amp;$B38&amp;" ("&amp;$A38&amp;")"," ","%20")&amp;"&amp;body="&amp;SUBSTITUTE(SUBSTITUTE("Hello "&amp;_xlfn.XLOOKUP($A38,'Item Master'!$A$4:$A$53,'Item Master'!$H$4:$H$53,"Supplier")&amp;"," &amp; CHAR(10) &amp; "We urgently need to restock "&amp;$B38&amp;" (SKU "&amp;$A38&amp;"). Our current stock is "&amp;TEXT($E38,"0")&amp;"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8" s="32">
        <f>IF($A38="","",$E38*_xlfn.XLOOKUP($A38,'Item Master'!$A$4:$A$53,'Item Master'!$D$4:$D$53,0))</f>
        <v/>
      </c>
    </row>
    <row r="39" ht="32" customHeight="1">
      <c r="A39" s="26">
        <f>IF(INDEX('Item Master'!$A$4:$A$53,31)="","",INDEX('Item Master'!$A$4:$A$53,31))</f>
        <v/>
      </c>
      <c r="B39" s="27">
        <f>IF($A39="","",_xlfn.XLOOKUP($A39,'Item Master'!$A$4:$A$53,'Item Master'!$B$4:$B$53,""))</f>
        <v/>
      </c>
      <c r="C39" s="28">
        <f>IF($A39="","",SUMIFS('Log Transaction'!$E$4:$E$303,'Log Transaction'!$C$4:$C$303,$A39,'Log Transaction'!$D$4:$D$303,"IN"))</f>
        <v/>
      </c>
      <c r="D39" s="28">
        <f>IF($A39="","",SUMIFS('Log Transaction'!$E$4:$E$303,'Log Transaction'!$C$4:$C$303,$A39,'Log Transaction'!$D$4:$D$303,"OUT")+SUMIFS('Log Transaction'!$E$4:$E$303,'Log Transaction'!$C$4:$C$303,$A39,'Log Transaction'!$D$4:$D$303,"SHRINKAGE"))</f>
        <v/>
      </c>
      <c r="E39" s="29">
        <f>IF($A39="","",$C39-$D39)</f>
        <v/>
      </c>
      <c r="F39" s="30">
        <f>IF($A39="","",IF($E39&lt;=_xlfn.XLOOKUP($A39,'Item Master'!$A$4:$A$53,'Item Master'!$F$4:$F$53,0)*0.1,"⚠️ REORDER NOW","✅ IN STOCK"))</f>
        <v/>
      </c>
      <c r="G39" s="31">
        <f>IF($A39="","",IF($F39="⚠️ REORDER NOW",HYPERLINK("https://wa.me/"&amp;SUBSTITUTE(SUBSTITUTE(SUBSTITUTE(SUBSTITUTE(SUBSTITUTE(SUBSTITUTE(_xlfn.XLOOKUP($A39,'Item Master'!$A$4:$A$53,'Item Master'!$I$4:$I$53,""),"+",""),"-","")," ",""),"(",""),")",""),".","")&amp;"?text="&amp;SUBSTITUTE("Hello "&amp;_xlfn.XLOOKUP($A39,'Item Master'!$A$4:$A$53,'Item Master'!$H$4:$H$53,"Supplier")&amp;", we urgently need more "&amp;$B39&amp;". Current stock is only "&amp;TEXT($E39,"0")&amp;" units. Please confirm availability and your fastest lead time. Thank you - Momentum Mind Store."," ","%20"),"💬  ORDER NOW"),""))</f>
        <v/>
      </c>
      <c r="H39" s="31">
        <f>IF($A39="","",IF($F39="⚠️ REORDER NOW",HYPERLINK("mailto:"&amp;_xlfn.XLOOKUP($A39,'Item Master'!$A$4:$A$53,'Item Master'!$J$4:$J$53,"")&amp;"?subject="&amp;SUBSTITUTE("URGENT restock request - "&amp;$B39&amp;" ("&amp;$A39&amp;")"," ","%20")&amp;"&amp;body="&amp;SUBSTITUTE(SUBSTITUTE("Hello "&amp;_xlfn.XLOOKUP($A39,'Item Master'!$A$4:$A$53,'Item Master'!$H$4:$H$53,"Supplier")&amp;"," &amp; CHAR(10) &amp; "We urgently need to restock "&amp;$B39&amp;" (SKU "&amp;$A39&amp;"). Our current stock is "&amp;TEXT($E39,"0")&amp;"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39" s="32">
        <f>IF($A39="","",$E39*_xlfn.XLOOKUP($A39,'Item Master'!$A$4:$A$53,'Item Master'!$D$4:$D$53,0))</f>
        <v/>
      </c>
    </row>
    <row r="40" ht="32" customHeight="1">
      <c r="A40" s="26">
        <f>IF(INDEX('Item Master'!$A$4:$A$53,32)="","",INDEX('Item Master'!$A$4:$A$53,32))</f>
        <v/>
      </c>
      <c r="B40" s="27">
        <f>IF($A40="","",_xlfn.XLOOKUP($A40,'Item Master'!$A$4:$A$53,'Item Master'!$B$4:$B$53,""))</f>
        <v/>
      </c>
      <c r="C40" s="28">
        <f>IF($A40="","",SUMIFS('Log Transaction'!$E$4:$E$303,'Log Transaction'!$C$4:$C$303,$A40,'Log Transaction'!$D$4:$D$303,"IN"))</f>
        <v/>
      </c>
      <c r="D40" s="28">
        <f>IF($A40="","",SUMIFS('Log Transaction'!$E$4:$E$303,'Log Transaction'!$C$4:$C$303,$A40,'Log Transaction'!$D$4:$D$303,"OUT")+SUMIFS('Log Transaction'!$E$4:$E$303,'Log Transaction'!$C$4:$C$303,$A40,'Log Transaction'!$D$4:$D$303,"SHRINKAGE"))</f>
        <v/>
      </c>
      <c r="E40" s="29">
        <f>IF($A40="","",$C40-$D40)</f>
        <v/>
      </c>
      <c r="F40" s="30">
        <f>IF($A40="","",IF($E40&lt;=_xlfn.XLOOKUP($A40,'Item Master'!$A$4:$A$53,'Item Master'!$F$4:$F$53,0)*0.1,"⚠️ REORDER NOW","✅ IN STOCK"))</f>
        <v/>
      </c>
      <c r="G40" s="31">
        <f>IF($A40="","",IF($F40="⚠️ REORDER NOW",HYPERLINK("https://wa.me/"&amp;SUBSTITUTE(SUBSTITUTE(SUBSTITUTE(SUBSTITUTE(SUBSTITUTE(SUBSTITUTE(_xlfn.XLOOKUP($A40,'Item Master'!$A$4:$A$53,'Item Master'!$I$4:$I$53,""),"+",""),"-","")," ",""),"(",""),")",""),".","")&amp;"?text="&amp;SUBSTITUTE("Hello "&amp;_xlfn.XLOOKUP($A40,'Item Master'!$A$4:$A$53,'Item Master'!$H$4:$H$53,"Supplier")&amp;", we urgently need more "&amp;$B40&amp;". Current stock is only "&amp;TEXT($E40,"0")&amp;" units. Please confirm availability and your fastest lead time. Thank you - Momentum Mind Store."," ","%20"),"💬  ORDER NOW"),""))</f>
        <v/>
      </c>
      <c r="H40" s="31">
        <f>IF($A40="","",IF($F40="⚠️ REORDER NOW",HYPERLINK("mailto:"&amp;_xlfn.XLOOKUP($A40,'Item Master'!$A$4:$A$53,'Item Master'!$J$4:$J$53,"")&amp;"?subject="&amp;SUBSTITUTE("URGENT restock request - "&amp;$B40&amp;" ("&amp;$A40&amp;")"," ","%20")&amp;"&amp;body="&amp;SUBSTITUTE(SUBSTITUTE("Hello "&amp;_xlfn.XLOOKUP($A40,'Item Master'!$A$4:$A$53,'Item Master'!$H$4:$H$53,"Supplier")&amp;"," &amp; CHAR(10) &amp; "We urgently need to restock "&amp;$B40&amp;" (SKU "&amp;$A40&amp;"). Our current stock is "&amp;TEXT($E40,"0")&amp;"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0" s="32">
        <f>IF($A40="","",$E40*_xlfn.XLOOKUP($A40,'Item Master'!$A$4:$A$53,'Item Master'!$D$4:$D$53,0))</f>
        <v/>
      </c>
    </row>
    <row r="41" ht="32" customHeight="1">
      <c r="A41" s="26">
        <f>IF(INDEX('Item Master'!$A$4:$A$53,33)="","",INDEX('Item Master'!$A$4:$A$53,33))</f>
        <v/>
      </c>
      <c r="B41" s="27">
        <f>IF($A41="","",_xlfn.XLOOKUP($A41,'Item Master'!$A$4:$A$53,'Item Master'!$B$4:$B$53,""))</f>
        <v/>
      </c>
      <c r="C41" s="28">
        <f>IF($A41="","",SUMIFS('Log Transaction'!$E$4:$E$303,'Log Transaction'!$C$4:$C$303,$A41,'Log Transaction'!$D$4:$D$303,"IN"))</f>
        <v/>
      </c>
      <c r="D41" s="28">
        <f>IF($A41="","",SUMIFS('Log Transaction'!$E$4:$E$303,'Log Transaction'!$C$4:$C$303,$A41,'Log Transaction'!$D$4:$D$303,"OUT")+SUMIFS('Log Transaction'!$E$4:$E$303,'Log Transaction'!$C$4:$C$303,$A41,'Log Transaction'!$D$4:$D$303,"SHRINKAGE"))</f>
        <v/>
      </c>
      <c r="E41" s="29">
        <f>IF($A41="","",$C41-$D41)</f>
        <v/>
      </c>
      <c r="F41" s="30">
        <f>IF($A41="","",IF($E41&lt;=_xlfn.XLOOKUP($A41,'Item Master'!$A$4:$A$53,'Item Master'!$F$4:$F$53,0)*0.1,"⚠️ REORDER NOW","✅ IN STOCK"))</f>
        <v/>
      </c>
      <c r="G41" s="31">
        <f>IF($A41="","",IF($F41="⚠️ REORDER NOW",HYPERLINK("https://wa.me/"&amp;SUBSTITUTE(SUBSTITUTE(SUBSTITUTE(SUBSTITUTE(SUBSTITUTE(SUBSTITUTE(_xlfn.XLOOKUP($A41,'Item Master'!$A$4:$A$53,'Item Master'!$I$4:$I$53,""),"+",""),"-","")," ",""),"(",""),")",""),".","")&amp;"?text="&amp;SUBSTITUTE("Hello "&amp;_xlfn.XLOOKUP($A41,'Item Master'!$A$4:$A$53,'Item Master'!$H$4:$H$53,"Supplier")&amp;", we urgently need more "&amp;$B41&amp;". Current stock is only "&amp;TEXT($E41,"0")&amp;" units. Please confirm availability and your fastest lead time. Thank you - Momentum Mind Store."," ","%20"),"💬  ORDER NOW"),""))</f>
        <v/>
      </c>
      <c r="H41" s="31">
        <f>IF($A41="","",IF($F41="⚠️ REORDER NOW",HYPERLINK("mailto:"&amp;_xlfn.XLOOKUP($A41,'Item Master'!$A$4:$A$53,'Item Master'!$J$4:$J$53,"")&amp;"?subject="&amp;SUBSTITUTE("URGENT restock request - "&amp;$B41&amp;" ("&amp;$A41&amp;")"," ","%20")&amp;"&amp;body="&amp;SUBSTITUTE(SUBSTITUTE("Hello "&amp;_xlfn.XLOOKUP($A41,'Item Master'!$A$4:$A$53,'Item Master'!$H$4:$H$53,"Supplier")&amp;"," &amp; CHAR(10) &amp; "We urgently need to restock "&amp;$B41&amp;" (SKU "&amp;$A41&amp;"). Our current stock is "&amp;TEXT($E41,"0")&amp;"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1" s="32">
        <f>IF($A41="","",$E41*_xlfn.XLOOKUP($A41,'Item Master'!$A$4:$A$53,'Item Master'!$D$4:$D$53,0))</f>
        <v/>
      </c>
    </row>
    <row r="42" ht="32" customHeight="1">
      <c r="A42" s="26">
        <f>IF(INDEX('Item Master'!$A$4:$A$53,34)="","",INDEX('Item Master'!$A$4:$A$53,34))</f>
        <v/>
      </c>
      <c r="B42" s="27">
        <f>IF($A42="","",_xlfn.XLOOKUP($A42,'Item Master'!$A$4:$A$53,'Item Master'!$B$4:$B$53,""))</f>
        <v/>
      </c>
      <c r="C42" s="28">
        <f>IF($A42="","",SUMIFS('Log Transaction'!$E$4:$E$303,'Log Transaction'!$C$4:$C$303,$A42,'Log Transaction'!$D$4:$D$303,"IN"))</f>
        <v/>
      </c>
      <c r="D42" s="28">
        <f>IF($A42="","",SUMIFS('Log Transaction'!$E$4:$E$303,'Log Transaction'!$C$4:$C$303,$A42,'Log Transaction'!$D$4:$D$303,"OUT")+SUMIFS('Log Transaction'!$E$4:$E$303,'Log Transaction'!$C$4:$C$303,$A42,'Log Transaction'!$D$4:$D$303,"SHRINKAGE"))</f>
        <v/>
      </c>
      <c r="E42" s="29">
        <f>IF($A42="","",$C42-$D42)</f>
        <v/>
      </c>
      <c r="F42" s="30">
        <f>IF($A42="","",IF($E42&lt;=_xlfn.XLOOKUP($A42,'Item Master'!$A$4:$A$53,'Item Master'!$F$4:$F$53,0)*0.1,"⚠️ REORDER NOW","✅ IN STOCK"))</f>
        <v/>
      </c>
      <c r="G42" s="31">
        <f>IF($A42="","",IF($F42="⚠️ REORDER NOW",HYPERLINK("https://wa.me/"&amp;SUBSTITUTE(SUBSTITUTE(SUBSTITUTE(SUBSTITUTE(SUBSTITUTE(SUBSTITUTE(_xlfn.XLOOKUP($A42,'Item Master'!$A$4:$A$53,'Item Master'!$I$4:$I$53,""),"+",""),"-","")," ",""),"(",""),")",""),".","")&amp;"?text="&amp;SUBSTITUTE("Hello "&amp;_xlfn.XLOOKUP($A42,'Item Master'!$A$4:$A$53,'Item Master'!$H$4:$H$53,"Supplier")&amp;", we urgently need more "&amp;$B42&amp;". Current stock is only "&amp;TEXT($E42,"0")&amp;" units. Please confirm availability and your fastest lead time. Thank you - Momentum Mind Store."," ","%20"),"💬  ORDER NOW"),""))</f>
        <v/>
      </c>
      <c r="H42" s="31">
        <f>IF($A42="","",IF($F42="⚠️ REORDER NOW",HYPERLINK("mailto:"&amp;_xlfn.XLOOKUP($A42,'Item Master'!$A$4:$A$53,'Item Master'!$J$4:$J$53,"")&amp;"?subject="&amp;SUBSTITUTE("URGENT restock request - "&amp;$B42&amp;" ("&amp;$A42&amp;")"," ","%20")&amp;"&amp;body="&amp;SUBSTITUTE(SUBSTITUTE("Hello "&amp;_xlfn.XLOOKUP($A42,'Item Master'!$A$4:$A$53,'Item Master'!$H$4:$H$53,"Supplier")&amp;"," &amp; CHAR(10) &amp; "We urgently need to restock "&amp;$B42&amp;" (SKU "&amp;$A42&amp;"). Our current stock is "&amp;TEXT($E42,"0")&amp;"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2" s="32">
        <f>IF($A42="","",$E42*_xlfn.XLOOKUP($A42,'Item Master'!$A$4:$A$53,'Item Master'!$D$4:$D$53,0))</f>
        <v/>
      </c>
    </row>
    <row r="43" ht="32" customHeight="1">
      <c r="A43" s="26">
        <f>IF(INDEX('Item Master'!$A$4:$A$53,35)="","",INDEX('Item Master'!$A$4:$A$53,35))</f>
        <v/>
      </c>
      <c r="B43" s="27">
        <f>IF($A43="","",_xlfn.XLOOKUP($A43,'Item Master'!$A$4:$A$53,'Item Master'!$B$4:$B$53,""))</f>
        <v/>
      </c>
      <c r="C43" s="28">
        <f>IF($A43="","",SUMIFS('Log Transaction'!$E$4:$E$303,'Log Transaction'!$C$4:$C$303,$A43,'Log Transaction'!$D$4:$D$303,"IN"))</f>
        <v/>
      </c>
      <c r="D43" s="28">
        <f>IF($A43="","",SUMIFS('Log Transaction'!$E$4:$E$303,'Log Transaction'!$C$4:$C$303,$A43,'Log Transaction'!$D$4:$D$303,"OUT")+SUMIFS('Log Transaction'!$E$4:$E$303,'Log Transaction'!$C$4:$C$303,$A43,'Log Transaction'!$D$4:$D$303,"SHRINKAGE"))</f>
        <v/>
      </c>
      <c r="E43" s="29">
        <f>IF($A43="","",$C43-$D43)</f>
        <v/>
      </c>
      <c r="F43" s="30">
        <f>IF($A43="","",IF($E43&lt;=_xlfn.XLOOKUP($A43,'Item Master'!$A$4:$A$53,'Item Master'!$F$4:$F$53,0)*0.1,"⚠️ REORDER NOW","✅ IN STOCK"))</f>
        <v/>
      </c>
      <c r="G43" s="31">
        <f>IF($A43="","",IF($F43="⚠️ REORDER NOW",HYPERLINK("https://wa.me/"&amp;SUBSTITUTE(SUBSTITUTE(SUBSTITUTE(SUBSTITUTE(SUBSTITUTE(SUBSTITUTE(_xlfn.XLOOKUP($A43,'Item Master'!$A$4:$A$53,'Item Master'!$I$4:$I$53,""),"+",""),"-","")," ",""),"(",""),")",""),".","")&amp;"?text="&amp;SUBSTITUTE("Hello "&amp;_xlfn.XLOOKUP($A43,'Item Master'!$A$4:$A$53,'Item Master'!$H$4:$H$53,"Supplier")&amp;", we urgently need more "&amp;$B43&amp;". Current stock is only "&amp;TEXT($E43,"0")&amp;" units. Please confirm availability and your fastest lead time. Thank you - Momentum Mind Store."," ","%20"),"💬  ORDER NOW"),""))</f>
        <v/>
      </c>
      <c r="H43" s="31">
        <f>IF($A43="","",IF($F43="⚠️ REORDER NOW",HYPERLINK("mailto:"&amp;_xlfn.XLOOKUP($A43,'Item Master'!$A$4:$A$53,'Item Master'!$J$4:$J$53,"")&amp;"?subject="&amp;SUBSTITUTE("URGENT restock request - "&amp;$B43&amp;" ("&amp;$A43&amp;")"," ","%20")&amp;"&amp;body="&amp;SUBSTITUTE(SUBSTITUTE("Hello "&amp;_xlfn.XLOOKUP($A43,'Item Master'!$A$4:$A$53,'Item Master'!$H$4:$H$53,"Supplier")&amp;"," &amp; CHAR(10) &amp; "We urgently need to restock "&amp;$B43&amp;" (SKU "&amp;$A43&amp;"). Our current stock is "&amp;TEXT($E43,"0")&amp;"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3" s="32">
        <f>IF($A43="","",$E43*_xlfn.XLOOKUP($A43,'Item Master'!$A$4:$A$53,'Item Master'!$D$4:$D$53,0))</f>
        <v/>
      </c>
    </row>
    <row r="44" ht="32" customHeight="1">
      <c r="A44" s="26">
        <f>IF(INDEX('Item Master'!$A$4:$A$53,36)="","",INDEX('Item Master'!$A$4:$A$53,36))</f>
        <v/>
      </c>
      <c r="B44" s="27">
        <f>IF($A44="","",_xlfn.XLOOKUP($A44,'Item Master'!$A$4:$A$53,'Item Master'!$B$4:$B$53,""))</f>
        <v/>
      </c>
      <c r="C44" s="28">
        <f>IF($A44="","",SUMIFS('Log Transaction'!$E$4:$E$303,'Log Transaction'!$C$4:$C$303,$A44,'Log Transaction'!$D$4:$D$303,"IN"))</f>
        <v/>
      </c>
      <c r="D44" s="28">
        <f>IF($A44="","",SUMIFS('Log Transaction'!$E$4:$E$303,'Log Transaction'!$C$4:$C$303,$A44,'Log Transaction'!$D$4:$D$303,"OUT")+SUMIFS('Log Transaction'!$E$4:$E$303,'Log Transaction'!$C$4:$C$303,$A44,'Log Transaction'!$D$4:$D$303,"SHRINKAGE"))</f>
        <v/>
      </c>
      <c r="E44" s="29">
        <f>IF($A44="","",$C44-$D44)</f>
        <v/>
      </c>
      <c r="F44" s="30">
        <f>IF($A44="","",IF($E44&lt;=_xlfn.XLOOKUP($A44,'Item Master'!$A$4:$A$53,'Item Master'!$F$4:$F$53,0)*0.1,"⚠️ REORDER NOW","✅ IN STOCK"))</f>
        <v/>
      </c>
      <c r="G44" s="31">
        <f>IF($A44="","",IF($F44="⚠️ REORDER NOW",HYPERLINK("https://wa.me/"&amp;SUBSTITUTE(SUBSTITUTE(SUBSTITUTE(SUBSTITUTE(SUBSTITUTE(SUBSTITUTE(_xlfn.XLOOKUP($A44,'Item Master'!$A$4:$A$53,'Item Master'!$I$4:$I$53,""),"+",""),"-","")," ",""),"(",""),")",""),".","")&amp;"?text="&amp;SUBSTITUTE("Hello "&amp;_xlfn.XLOOKUP($A44,'Item Master'!$A$4:$A$53,'Item Master'!$H$4:$H$53,"Supplier")&amp;", we urgently need more "&amp;$B44&amp;". Current stock is only "&amp;TEXT($E44,"0")&amp;" units. Please confirm availability and your fastest lead time. Thank you - Momentum Mind Store."," ","%20"),"💬  ORDER NOW"),""))</f>
        <v/>
      </c>
      <c r="H44" s="31">
        <f>IF($A44="","",IF($F44="⚠️ REORDER NOW",HYPERLINK("mailto:"&amp;_xlfn.XLOOKUP($A44,'Item Master'!$A$4:$A$53,'Item Master'!$J$4:$J$53,"")&amp;"?subject="&amp;SUBSTITUTE("URGENT restock request - "&amp;$B44&amp;" ("&amp;$A44&amp;")"," ","%20")&amp;"&amp;body="&amp;SUBSTITUTE(SUBSTITUTE("Hello "&amp;_xlfn.XLOOKUP($A44,'Item Master'!$A$4:$A$53,'Item Master'!$H$4:$H$53,"Supplier")&amp;"," &amp; CHAR(10) &amp; "We urgently need to restock "&amp;$B44&amp;" (SKU "&amp;$A44&amp;"). Our current stock is "&amp;TEXT($E44,"0")&amp;"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4" s="32">
        <f>IF($A44="","",$E44*_xlfn.XLOOKUP($A44,'Item Master'!$A$4:$A$53,'Item Master'!$D$4:$D$53,0))</f>
        <v/>
      </c>
    </row>
    <row r="45" ht="32" customHeight="1">
      <c r="A45" s="26">
        <f>IF(INDEX('Item Master'!$A$4:$A$53,37)="","",INDEX('Item Master'!$A$4:$A$53,37))</f>
        <v/>
      </c>
      <c r="B45" s="27">
        <f>IF($A45="","",_xlfn.XLOOKUP($A45,'Item Master'!$A$4:$A$53,'Item Master'!$B$4:$B$53,""))</f>
        <v/>
      </c>
      <c r="C45" s="28">
        <f>IF($A45="","",SUMIFS('Log Transaction'!$E$4:$E$303,'Log Transaction'!$C$4:$C$303,$A45,'Log Transaction'!$D$4:$D$303,"IN"))</f>
        <v/>
      </c>
      <c r="D45" s="28">
        <f>IF($A45="","",SUMIFS('Log Transaction'!$E$4:$E$303,'Log Transaction'!$C$4:$C$303,$A45,'Log Transaction'!$D$4:$D$303,"OUT")+SUMIFS('Log Transaction'!$E$4:$E$303,'Log Transaction'!$C$4:$C$303,$A45,'Log Transaction'!$D$4:$D$303,"SHRINKAGE"))</f>
        <v/>
      </c>
      <c r="E45" s="29">
        <f>IF($A45="","",$C45-$D45)</f>
        <v/>
      </c>
      <c r="F45" s="30">
        <f>IF($A45="","",IF($E45&lt;=_xlfn.XLOOKUP($A45,'Item Master'!$A$4:$A$53,'Item Master'!$F$4:$F$53,0)*0.1,"⚠️ REORDER NOW","✅ IN STOCK"))</f>
        <v/>
      </c>
      <c r="G45" s="31">
        <f>IF($A45="","",IF($F45="⚠️ REORDER NOW",HYPERLINK("https://wa.me/"&amp;SUBSTITUTE(SUBSTITUTE(SUBSTITUTE(SUBSTITUTE(SUBSTITUTE(SUBSTITUTE(_xlfn.XLOOKUP($A45,'Item Master'!$A$4:$A$53,'Item Master'!$I$4:$I$53,""),"+",""),"-","")," ",""),"(",""),")",""),".","")&amp;"?text="&amp;SUBSTITUTE("Hello "&amp;_xlfn.XLOOKUP($A45,'Item Master'!$A$4:$A$53,'Item Master'!$H$4:$H$53,"Supplier")&amp;", we urgently need more "&amp;$B45&amp;". Current stock is only "&amp;TEXT($E45,"0")&amp;" units. Please confirm availability and your fastest lead time. Thank you - Momentum Mind Store."," ","%20"),"💬  ORDER NOW"),""))</f>
        <v/>
      </c>
      <c r="H45" s="31">
        <f>IF($A45="","",IF($F45="⚠️ REORDER NOW",HYPERLINK("mailto:"&amp;_xlfn.XLOOKUP($A45,'Item Master'!$A$4:$A$53,'Item Master'!$J$4:$J$53,"")&amp;"?subject="&amp;SUBSTITUTE("URGENT restock request - "&amp;$B45&amp;" ("&amp;$A45&amp;")"," ","%20")&amp;"&amp;body="&amp;SUBSTITUTE(SUBSTITUTE("Hello "&amp;_xlfn.XLOOKUP($A45,'Item Master'!$A$4:$A$53,'Item Master'!$H$4:$H$53,"Supplier")&amp;"," &amp; CHAR(10) &amp; "We urgently need to restock "&amp;$B45&amp;" (SKU "&amp;$A45&amp;"). Our current stock is "&amp;TEXT($E45,"0")&amp;"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5" s="32">
        <f>IF($A45="","",$E45*_xlfn.XLOOKUP($A45,'Item Master'!$A$4:$A$53,'Item Master'!$D$4:$D$53,0))</f>
        <v/>
      </c>
    </row>
    <row r="46" ht="32" customHeight="1">
      <c r="A46" s="26">
        <f>IF(INDEX('Item Master'!$A$4:$A$53,38)="","",INDEX('Item Master'!$A$4:$A$53,38))</f>
        <v/>
      </c>
      <c r="B46" s="27">
        <f>IF($A46="","",_xlfn.XLOOKUP($A46,'Item Master'!$A$4:$A$53,'Item Master'!$B$4:$B$53,""))</f>
        <v/>
      </c>
      <c r="C46" s="28">
        <f>IF($A46="","",SUMIFS('Log Transaction'!$E$4:$E$303,'Log Transaction'!$C$4:$C$303,$A46,'Log Transaction'!$D$4:$D$303,"IN"))</f>
        <v/>
      </c>
      <c r="D46" s="28">
        <f>IF($A46="","",SUMIFS('Log Transaction'!$E$4:$E$303,'Log Transaction'!$C$4:$C$303,$A46,'Log Transaction'!$D$4:$D$303,"OUT")+SUMIFS('Log Transaction'!$E$4:$E$303,'Log Transaction'!$C$4:$C$303,$A46,'Log Transaction'!$D$4:$D$303,"SHRINKAGE"))</f>
        <v/>
      </c>
      <c r="E46" s="29">
        <f>IF($A46="","",$C46-$D46)</f>
        <v/>
      </c>
      <c r="F46" s="30">
        <f>IF($A46="","",IF($E46&lt;=_xlfn.XLOOKUP($A46,'Item Master'!$A$4:$A$53,'Item Master'!$F$4:$F$53,0)*0.1,"⚠️ REORDER NOW","✅ IN STOCK"))</f>
        <v/>
      </c>
      <c r="G46" s="31">
        <f>IF($A46="","",IF($F46="⚠️ REORDER NOW",HYPERLINK("https://wa.me/"&amp;SUBSTITUTE(SUBSTITUTE(SUBSTITUTE(SUBSTITUTE(SUBSTITUTE(SUBSTITUTE(_xlfn.XLOOKUP($A46,'Item Master'!$A$4:$A$53,'Item Master'!$I$4:$I$53,""),"+",""),"-","")," ",""),"(",""),")",""),".","")&amp;"?text="&amp;SUBSTITUTE("Hello "&amp;_xlfn.XLOOKUP($A46,'Item Master'!$A$4:$A$53,'Item Master'!$H$4:$H$53,"Supplier")&amp;", we urgently need more "&amp;$B46&amp;". Current stock is only "&amp;TEXT($E46,"0")&amp;" units. Please confirm availability and your fastest lead time. Thank you - Momentum Mind Store."," ","%20"),"💬  ORDER NOW"),""))</f>
        <v/>
      </c>
      <c r="H46" s="31">
        <f>IF($A46="","",IF($F46="⚠️ REORDER NOW",HYPERLINK("mailto:"&amp;_xlfn.XLOOKUP($A46,'Item Master'!$A$4:$A$53,'Item Master'!$J$4:$J$53,"")&amp;"?subject="&amp;SUBSTITUTE("URGENT restock request - "&amp;$B46&amp;" ("&amp;$A46&amp;")"," ","%20")&amp;"&amp;body="&amp;SUBSTITUTE(SUBSTITUTE("Hello "&amp;_xlfn.XLOOKUP($A46,'Item Master'!$A$4:$A$53,'Item Master'!$H$4:$H$53,"Supplier")&amp;"," &amp; CHAR(10) &amp; "We urgently need to restock "&amp;$B46&amp;" (SKU "&amp;$A46&amp;"). Our current stock is "&amp;TEXT($E46,"0")&amp;"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6" s="32">
        <f>IF($A46="","",$E46*_xlfn.XLOOKUP($A46,'Item Master'!$A$4:$A$53,'Item Master'!$D$4:$D$53,0))</f>
        <v/>
      </c>
    </row>
    <row r="47" ht="32" customHeight="1">
      <c r="A47" s="26">
        <f>IF(INDEX('Item Master'!$A$4:$A$53,39)="","",INDEX('Item Master'!$A$4:$A$53,39))</f>
        <v/>
      </c>
      <c r="B47" s="27">
        <f>IF($A47="","",_xlfn.XLOOKUP($A47,'Item Master'!$A$4:$A$53,'Item Master'!$B$4:$B$53,""))</f>
        <v/>
      </c>
      <c r="C47" s="28">
        <f>IF($A47="","",SUMIFS('Log Transaction'!$E$4:$E$303,'Log Transaction'!$C$4:$C$303,$A47,'Log Transaction'!$D$4:$D$303,"IN"))</f>
        <v/>
      </c>
      <c r="D47" s="28">
        <f>IF($A47="","",SUMIFS('Log Transaction'!$E$4:$E$303,'Log Transaction'!$C$4:$C$303,$A47,'Log Transaction'!$D$4:$D$303,"OUT")+SUMIFS('Log Transaction'!$E$4:$E$303,'Log Transaction'!$C$4:$C$303,$A47,'Log Transaction'!$D$4:$D$303,"SHRINKAGE"))</f>
        <v/>
      </c>
      <c r="E47" s="29">
        <f>IF($A47="","",$C47-$D47)</f>
        <v/>
      </c>
      <c r="F47" s="30">
        <f>IF($A47="","",IF($E47&lt;=_xlfn.XLOOKUP($A47,'Item Master'!$A$4:$A$53,'Item Master'!$F$4:$F$53,0)*0.1,"⚠️ REORDER NOW","✅ IN STOCK"))</f>
        <v/>
      </c>
      <c r="G47" s="31">
        <f>IF($A47="","",IF($F47="⚠️ REORDER NOW",HYPERLINK("https://wa.me/"&amp;SUBSTITUTE(SUBSTITUTE(SUBSTITUTE(SUBSTITUTE(SUBSTITUTE(SUBSTITUTE(_xlfn.XLOOKUP($A47,'Item Master'!$A$4:$A$53,'Item Master'!$I$4:$I$53,""),"+",""),"-","")," ",""),"(",""),")",""),".","")&amp;"?text="&amp;SUBSTITUTE("Hello "&amp;_xlfn.XLOOKUP($A47,'Item Master'!$A$4:$A$53,'Item Master'!$H$4:$H$53,"Supplier")&amp;", we urgently need more "&amp;$B47&amp;". Current stock is only "&amp;TEXT($E47,"0")&amp;" units. Please confirm availability and your fastest lead time. Thank you - Momentum Mind Store."," ","%20"),"💬  ORDER NOW"),""))</f>
        <v/>
      </c>
      <c r="H47" s="31">
        <f>IF($A47="","",IF($F47="⚠️ REORDER NOW",HYPERLINK("mailto:"&amp;_xlfn.XLOOKUP($A47,'Item Master'!$A$4:$A$53,'Item Master'!$J$4:$J$53,"")&amp;"?subject="&amp;SUBSTITUTE("URGENT restock request - "&amp;$B47&amp;" ("&amp;$A47&amp;")"," ","%20")&amp;"&amp;body="&amp;SUBSTITUTE(SUBSTITUTE("Hello "&amp;_xlfn.XLOOKUP($A47,'Item Master'!$A$4:$A$53,'Item Master'!$H$4:$H$53,"Supplier")&amp;"," &amp; CHAR(10) &amp; "We urgently need to restock "&amp;$B47&amp;" (SKU "&amp;$A47&amp;"). Our current stock is "&amp;TEXT($E47,"0")&amp;"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7" s="32">
        <f>IF($A47="","",$E47*_xlfn.XLOOKUP($A47,'Item Master'!$A$4:$A$53,'Item Master'!$D$4:$D$53,0))</f>
        <v/>
      </c>
    </row>
    <row r="48" ht="32" customHeight="1">
      <c r="A48" s="26">
        <f>IF(INDEX('Item Master'!$A$4:$A$53,40)="","",INDEX('Item Master'!$A$4:$A$53,40))</f>
        <v/>
      </c>
      <c r="B48" s="27">
        <f>IF($A48="","",_xlfn.XLOOKUP($A48,'Item Master'!$A$4:$A$53,'Item Master'!$B$4:$B$53,""))</f>
        <v/>
      </c>
      <c r="C48" s="28">
        <f>IF($A48="","",SUMIFS('Log Transaction'!$E$4:$E$303,'Log Transaction'!$C$4:$C$303,$A48,'Log Transaction'!$D$4:$D$303,"IN"))</f>
        <v/>
      </c>
      <c r="D48" s="28">
        <f>IF($A48="","",SUMIFS('Log Transaction'!$E$4:$E$303,'Log Transaction'!$C$4:$C$303,$A48,'Log Transaction'!$D$4:$D$303,"OUT")+SUMIFS('Log Transaction'!$E$4:$E$303,'Log Transaction'!$C$4:$C$303,$A48,'Log Transaction'!$D$4:$D$303,"SHRINKAGE"))</f>
        <v/>
      </c>
      <c r="E48" s="29">
        <f>IF($A48="","",$C48-$D48)</f>
        <v/>
      </c>
      <c r="F48" s="30">
        <f>IF($A48="","",IF($E48&lt;=_xlfn.XLOOKUP($A48,'Item Master'!$A$4:$A$53,'Item Master'!$F$4:$F$53,0)*0.1,"⚠️ REORDER NOW","✅ IN STOCK"))</f>
        <v/>
      </c>
      <c r="G48" s="31">
        <f>IF($A48="","",IF($F48="⚠️ REORDER NOW",HYPERLINK("https://wa.me/"&amp;SUBSTITUTE(SUBSTITUTE(SUBSTITUTE(SUBSTITUTE(SUBSTITUTE(SUBSTITUTE(_xlfn.XLOOKUP($A48,'Item Master'!$A$4:$A$53,'Item Master'!$I$4:$I$53,""),"+",""),"-","")," ",""),"(",""),")",""),".","")&amp;"?text="&amp;SUBSTITUTE("Hello "&amp;_xlfn.XLOOKUP($A48,'Item Master'!$A$4:$A$53,'Item Master'!$H$4:$H$53,"Supplier")&amp;", we urgently need more "&amp;$B48&amp;". Current stock is only "&amp;TEXT($E48,"0")&amp;" units. Please confirm availability and your fastest lead time. Thank you - Momentum Mind Store."," ","%20"),"💬  ORDER NOW"),""))</f>
        <v/>
      </c>
      <c r="H48" s="31">
        <f>IF($A48="","",IF($F48="⚠️ REORDER NOW",HYPERLINK("mailto:"&amp;_xlfn.XLOOKUP($A48,'Item Master'!$A$4:$A$53,'Item Master'!$J$4:$J$53,"")&amp;"?subject="&amp;SUBSTITUTE("URGENT restock request - "&amp;$B48&amp;" ("&amp;$A48&amp;")"," ","%20")&amp;"&amp;body="&amp;SUBSTITUTE(SUBSTITUTE("Hello "&amp;_xlfn.XLOOKUP($A48,'Item Master'!$A$4:$A$53,'Item Master'!$H$4:$H$53,"Supplier")&amp;"," &amp; CHAR(10) &amp; "We urgently need to restock "&amp;$B48&amp;" (SKU "&amp;$A48&amp;"). Our current stock is "&amp;TEXT($E48,"0")&amp;"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8" s="32">
        <f>IF($A48="","",$E48*_xlfn.XLOOKUP($A48,'Item Master'!$A$4:$A$53,'Item Master'!$D$4:$D$53,0))</f>
        <v/>
      </c>
    </row>
    <row r="49" ht="32" customHeight="1">
      <c r="A49" s="26">
        <f>IF(INDEX('Item Master'!$A$4:$A$53,41)="","",INDEX('Item Master'!$A$4:$A$53,41))</f>
        <v/>
      </c>
      <c r="B49" s="27">
        <f>IF($A49="","",_xlfn.XLOOKUP($A49,'Item Master'!$A$4:$A$53,'Item Master'!$B$4:$B$53,""))</f>
        <v/>
      </c>
      <c r="C49" s="28">
        <f>IF($A49="","",SUMIFS('Log Transaction'!$E$4:$E$303,'Log Transaction'!$C$4:$C$303,$A49,'Log Transaction'!$D$4:$D$303,"IN"))</f>
        <v/>
      </c>
      <c r="D49" s="28">
        <f>IF($A49="","",SUMIFS('Log Transaction'!$E$4:$E$303,'Log Transaction'!$C$4:$C$303,$A49,'Log Transaction'!$D$4:$D$303,"OUT")+SUMIFS('Log Transaction'!$E$4:$E$303,'Log Transaction'!$C$4:$C$303,$A49,'Log Transaction'!$D$4:$D$303,"SHRINKAGE"))</f>
        <v/>
      </c>
      <c r="E49" s="29">
        <f>IF($A49="","",$C49-$D49)</f>
        <v/>
      </c>
      <c r="F49" s="30">
        <f>IF($A49="","",IF($E49&lt;=_xlfn.XLOOKUP($A49,'Item Master'!$A$4:$A$53,'Item Master'!$F$4:$F$53,0)*0.1,"⚠️ REORDER NOW","✅ IN STOCK"))</f>
        <v/>
      </c>
      <c r="G49" s="31">
        <f>IF($A49="","",IF($F49="⚠️ REORDER NOW",HYPERLINK("https://wa.me/"&amp;SUBSTITUTE(SUBSTITUTE(SUBSTITUTE(SUBSTITUTE(SUBSTITUTE(SUBSTITUTE(_xlfn.XLOOKUP($A49,'Item Master'!$A$4:$A$53,'Item Master'!$I$4:$I$53,""),"+",""),"-","")," ",""),"(",""),")",""),".","")&amp;"?text="&amp;SUBSTITUTE("Hello "&amp;_xlfn.XLOOKUP($A49,'Item Master'!$A$4:$A$53,'Item Master'!$H$4:$H$53,"Supplier")&amp;", we urgently need more "&amp;$B49&amp;". Current stock is only "&amp;TEXT($E49,"0")&amp;" units. Please confirm availability and your fastest lead time. Thank you - Momentum Mind Store."," ","%20"),"💬  ORDER NOW"),""))</f>
        <v/>
      </c>
      <c r="H49" s="31">
        <f>IF($A49="","",IF($F49="⚠️ REORDER NOW",HYPERLINK("mailto:"&amp;_xlfn.XLOOKUP($A49,'Item Master'!$A$4:$A$53,'Item Master'!$J$4:$J$53,"")&amp;"?subject="&amp;SUBSTITUTE("URGENT restock request - "&amp;$B49&amp;" ("&amp;$A49&amp;")"," ","%20")&amp;"&amp;body="&amp;SUBSTITUTE(SUBSTITUTE("Hello "&amp;_xlfn.XLOOKUP($A49,'Item Master'!$A$4:$A$53,'Item Master'!$H$4:$H$53,"Supplier")&amp;"," &amp; CHAR(10) &amp; "We urgently need to restock "&amp;$B49&amp;" (SKU "&amp;$A49&amp;"). Our current stock is "&amp;TEXT($E49,"0")&amp;"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49" s="32">
        <f>IF($A49="","",$E49*_xlfn.XLOOKUP($A49,'Item Master'!$A$4:$A$53,'Item Master'!$D$4:$D$53,0))</f>
        <v/>
      </c>
    </row>
    <row r="50" ht="32" customHeight="1">
      <c r="A50" s="26">
        <f>IF(INDEX('Item Master'!$A$4:$A$53,42)="","",INDEX('Item Master'!$A$4:$A$53,42))</f>
        <v/>
      </c>
      <c r="B50" s="27">
        <f>IF($A50="","",_xlfn.XLOOKUP($A50,'Item Master'!$A$4:$A$53,'Item Master'!$B$4:$B$53,""))</f>
        <v/>
      </c>
      <c r="C50" s="28">
        <f>IF($A50="","",SUMIFS('Log Transaction'!$E$4:$E$303,'Log Transaction'!$C$4:$C$303,$A50,'Log Transaction'!$D$4:$D$303,"IN"))</f>
        <v/>
      </c>
      <c r="D50" s="28">
        <f>IF($A50="","",SUMIFS('Log Transaction'!$E$4:$E$303,'Log Transaction'!$C$4:$C$303,$A50,'Log Transaction'!$D$4:$D$303,"OUT")+SUMIFS('Log Transaction'!$E$4:$E$303,'Log Transaction'!$C$4:$C$303,$A50,'Log Transaction'!$D$4:$D$303,"SHRINKAGE"))</f>
        <v/>
      </c>
      <c r="E50" s="29">
        <f>IF($A50="","",$C50-$D50)</f>
        <v/>
      </c>
      <c r="F50" s="30">
        <f>IF($A50="","",IF($E50&lt;=_xlfn.XLOOKUP($A50,'Item Master'!$A$4:$A$53,'Item Master'!$F$4:$F$53,0)*0.1,"⚠️ REORDER NOW","✅ IN STOCK"))</f>
        <v/>
      </c>
      <c r="G50" s="31">
        <f>IF($A50="","",IF($F50="⚠️ REORDER NOW",HYPERLINK("https://wa.me/"&amp;SUBSTITUTE(SUBSTITUTE(SUBSTITUTE(SUBSTITUTE(SUBSTITUTE(SUBSTITUTE(_xlfn.XLOOKUP($A50,'Item Master'!$A$4:$A$53,'Item Master'!$I$4:$I$53,""),"+",""),"-","")," ",""),"(",""),")",""),".","")&amp;"?text="&amp;SUBSTITUTE("Hello "&amp;_xlfn.XLOOKUP($A50,'Item Master'!$A$4:$A$53,'Item Master'!$H$4:$H$53,"Supplier")&amp;", we urgently need more "&amp;$B50&amp;". Current stock is only "&amp;TEXT($E50,"0")&amp;" units. Please confirm availability and your fastest lead time. Thank you - Momentum Mind Store."," ","%20"),"💬  ORDER NOW"),""))</f>
        <v/>
      </c>
      <c r="H50" s="31">
        <f>IF($A50="","",IF($F50="⚠️ REORDER NOW",HYPERLINK("mailto:"&amp;_xlfn.XLOOKUP($A50,'Item Master'!$A$4:$A$53,'Item Master'!$J$4:$J$53,"")&amp;"?subject="&amp;SUBSTITUTE("URGENT restock request - "&amp;$B50&amp;" ("&amp;$A50&amp;")"," ","%20")&amp;"&amp;body="&amp;SUBSTITUTE(SUBSTITUTE("Hello "&amp;_xlfn.XLOOKUP($A50,'Item Master'!$A$4:$A$53,'Item Master'!$H$4:$H$53,"Supplier")&amp;"," &amp; CHAR(10) &amp; "We urgently need to restock "&amp;$B50&amp;" (SKU "&amp;$A50&amp;"). Our current stock is "&amp;TEXT($E50,"0")&amp;"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0" s="32">
        <f>IF($A50="","",$E50*_xlfn.XLOOKUP($A50,'Item Master'!$A$4:$A$53,'Item Master'!$D$4:$D$53,0))</f>
        <v/>
      </c>
    </row>
    <row r="51" ht="32" customHeight="1">
      <c r="A51" s="26">
        <f>IF(INDEX('Item Master'!$A$4:$A$53,43)="","",INDEX('Item Master'!$A$4:$A$53,43))</f>
        <v/>
      </c>
      <c r="B51" s="27">
        <f>IF($A51="","",_xlfn.XLOOKUP($A51,'Item Master'!$A$4:$A$53,'Item Master'!$B$4:$B$53,""))</f>
        <v/>
      </c>
      <c r="C51" s="28">
        <f>IF($A51="","",SUMIFS('Log Transaction'!$E$4:$E$303,'Log Transaction'!$C$4:$C$303,$A51,'Log Transaction'!$D$4:$D$303,"IN"))</f>
        <v/>
      </c>
      <c r="D51" s="28">
        <f>IF($A51="","",SUMIFS('Log Transaction'!$E$4:$E$303,'Log Transaction'!$C$4:$C$303,$A51,'Log Transaction'!$D$4:$D$303,"OUT")+SUMIFS('Log Transaction'!$E$4:$E$303,'Log Transaction'!$C$4:$C$303,$A51,'Log Transaction'!$D$4:$D$303,"SHRINKAGE"))</f>
        <v/>
      </c>
      <c r="E51" s="29">
        <f>IF($A51="","",$C51-$D51)</f>
        <v/>
      </c>
      <c r="F51" s="30">
        <f>IF($A51="","",IF($E51&lt;=_xlfn.XLOOKUP($A51,'Item Master'!$A$4:$A$53,'Item Master'!$F$4:$F$53,0)*0.1,"⚠️ REORDER NOW","✅ IN STOCK"))</f>
        <v/>
      </c>
      <c r="G51" s="31">
        <f>IF($A51="","",IF($F51="⚠️ REORDER NOW",HYPERLINK("https://wa.me/"&amp;SUBSTITUTE(SUBSTITUTE(SUBSTITUTE(SUBSTITUTE(SUBSTITUTE(SUBSTITUTE(_xlfn.XLOOKUP($A51,'Item Master'!$A$4:$A$53,'Item Master'!$I$4:$I$53,""),"+",""),"-","")," ",""),"(",""),")",""),".","")&amp;"?text="&amp;SUBSTITUTE("Hello "&amp;_xlfn.XLOOKUP($A51,'Item Master'!$A$4:$A$53,'Item Master'!$H$4:$H$53,"Supplier")&amp;", we urgently need more "&amp;$B51&amp;". Current stock is only "&amp;TEXT($E51,"0")&amp;" units. Please confirm availability and your fastest lead time. Thank you - Momentum Mind Store."," ","%20"),"💬  ORDER NOW"),""))</f>
        <v/>
      </c>
      <c r="H51" s="31">
        <f>IF($A51="","",IF($F51="⚠️ REORDER NOW",HYPERLINK("mailto:"&amp;_xlfn.XLOOKUP($A51,'Item Master'!$A$4:$A$53,'Item Master'!$J$4:$J$53,"")&amp;"?subject="&amp;SUBSTITUTE("URGENT restock request - "&amp;$B51&amp;" ("&amp;$A51&amp;")"," ","%20")&amp;"&amp;body="&amp;SUBSTITUTE(SUBSTITUTE("Hello "&amp;_xlfn.XLOOKUP($A51,'Item Master'!$A$4:$A$53,'Item Master'!$H$4:$H$53,"Supplier")&amp;"," &amp; CHAR(10) &amp; "We urgently need to restock "&amp;$B51&amp;" (SKU "&amp;$A51&amp;"). Our current stock is "&amp;TEXT($E51,"0")&amp;"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1" s="32">
        <f>IF($A51="","",$E51*_xlfn.XLOOKUP($A51,'Item Master'!$A$4:$A$53,'Item Master'!$D$4:$D$53,0))</f>
        <v/>
      </c>
    </row>
    <row r="52" ht="32" customHeight="1">
      <c r="A52" s="26">
        <f>IF(INDEX('Item Master'!$A$4:$A$53,44)="","",INDEX('Item Master'!$A$4:$A$53,44))</f>
        <v/>
      </c>
      <c r="B52" s="27">
        <f>IF($A52="","",_xlfn.XLOOKUP($A52,'Item Master'!$A$4:$A$53,'Item Master'!$B$4:$B$53,""))</f>
        <v/>
      </c>
      <c r="C52" s="28">
        <f>IF($A52="","",SUMIFS('Log Transaction'!$E$4:$E$303,'Log Transaction'!$C$4:$C$303,$A52,'Log Transaction'!$D$4:$D$303,"IN"))</f>
        <v/>
      </c>
      <c r="D52" s="28">
        <f>IF($A52="","",SUMIFS('Log Transaction'!$E$4:$E$303,'Log Transaction'!$C$4:$C$303,$A52,'Log Transaction'!$D$4:$D$303,"OUT")+SUMIFS('Log Transaction'!$E$4:$E$303,'Log Transaction'!$C$4:$C$303,$A52,'Log Transaction'!$D$4:$D$303,"SHRINKAGE"))</f>
        <v/>
      </c>
      <c r="E52" s="29">
        <f>IF($A52="","",$C52-$D52)</f>
        <v/>
      </c>
      <c r="F52" s="30">
        <f>IF($A52="","",IF($E52&lt;=_xlfn.XLOOKUP($A52,'Item Master'!$A$4:$A$53,'Item Master'!$F$4:$F$53,0)*0.1,"⚠️ REORDER NOW","✅ IN STOCK"))</f>
        <v/>
      </c>
      <c r="G52" s="31">
        <f>IF($A52="","",IF($F52="⚠️ REORDER NOW",HYPERLINK("https://wa.me/"&amp;SUBSTITUTE(SUBSTITUTE(SUBSTITUTE(SUBSTITUTE(SUBSTITUTE(SUBSTITUTE(_xlfn.XLOOKUP($A52,'Item Master'!$A$4:$A$53,'Item Master'!$I$4:$I$53,""),"+",""),"-","")," ",""),"(",""),")",""),".","")&amp;"?text="&amp;SUBSTITUTE("Hello "&amp;_xlfn.XLOOKUP($A52,'Item Master'!$A$4:$A$53,'Item Master'!$H$4:$H$53,"Supplier")&amp;", we urgently need more "&amp;$B52&amp;". Current stock is only "&amp;TEXT($E52,"0")&amp;" units. Please confirm availability and your fastest lead time. Thank you - Momentum Mind Store."," ","%20"),"💬  ORDER NOW"),""))</f>
        <v/>
      </c>
      <c r="H52" s="31">
        <f>IF($A52="","",IF($F52="⚠️ REORDER NOW",HYPERLINK("mailto:"&amp;_xlfn.XLOOKUP($A52,'Item Master'!$A$4:$A$53,'Item Master'!$J$4:$J$53,"")&amp;"?subject="&amp;SUBSTITUTE("URGENT restock request - "&amp;$B52&amp;" ("&amp;$A52&amp;")"," ","%20")&amp;"&amp;body="&amp;SUBSTITUTE(SUBSTITUTE("Hello "&amp;_xlfn.XLOOKUP($A52,'Item Master'!$A$4:$A$53,'Item Master'!$H$4:$H$53,"Supplier")&amp;"," &amp; CHAR(10) &amp; "We urgently need to restock "&amp;$B52&amp;" (SKU "&amp;$A52&amp;"). Our current stock is "&amp;TEXT($E52,"0")&amp;"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2" s="32">
        <f>IF($A52="","",$E52*_xlfn.XLOOKUP($A52,'Item Master'!$A$4:$A$53,'Item Master'!$D$4:$D$53,0))</f>
        <v/>
      </c>
    </row>
    <row r="53" ht="32" customHeight="1">
      <c r="A53" s="26">
        <f>IF(INDEX('Item Master'!$A$4:$A$53,45)="","",INDEX('Item Master'!$A$4:$A$53,45))</f>
        <v/>
      </c>
      <c r="B53" s="27">
        <f>IF($A53="","",_xlfn.XLOOKUP($A53,'Item Master'!$A$4:$A$53,'Item Master'!$B$4:$B$53,""))</f>
        <v/>
      </c>
      <c r="C53" s="28">
        <f>IF($A53="","",SUMIFS('Log Transaction'!$E$4:$E$303,'Log Transaction'!$C$4:$C$303,$A53,'Log Transaction'!$D$4:$D$303,"IN"))</f>
        <v/>
      </c>
      <c r="D53" s="28">
        <f>IF($A53="","",SUMIFS('Log Transaction'!$E$4:$E$303,'Log Transaction'!$C$4:$C$303,$A53,'Log Transaction'!$D$4:$D$303,"OUT")+SUMIFS('Log Transaction'!$E$4:$E$303,'Log Transaction'!$C$4:$C$303,$A53,'Log Transaction'!$D$4:$D$303,"SHRINKAGE"))</f>
        <v/>
      </c>
      <c r="E53" s="29">
        <f>IF($A53="","",$C53-$D53)</f>
        <v/>
      </c>
      <c r="F53" s="30">
        <f>IF($A53="","",IF($E53&lt;=_xlfn.XLOOKUP($A53,'Item Master'!$A$4:$A$53,'Item Master'!$F$4:$F$53,0)*0.1,"⚠️ REORDER NOW","✅ IN STOCK"))</f>
        <v/>
      </c>
      <c r="G53" s="31">
        <f>IF($A53="","",IF($F53="⚠️ REORDER NOW",HYPERLINK("https://wa.me/"&amp;SUBSTITUTE(SUBSTITUTE(SUBSTITUTE(SUBSTITUTE(SUBSTITUTE(SUBSTITUTE(_xlfn.XLOOKUP($A53,'Item Master'!$A$4:$A$53,'Item Master'!$I$4:$I$53,""),"+",""),"-","")," ",""),"(",""),")",""),".","")&amp;"?text="&amp;SUBSTITUTE("Hello "&amp;_xlfn.XLOOKUP($A53,'Item Master'!$A$4:$A$53,'Item Master'!$H$4:$H$53,"Supplier")&amp;", we urgently need more "&amp;$B53&amp;". Current stock is only "&amp;TEXT($E53,"0")&amp;" units. Please confirm availability and your fastest lead time. Thank you - Momentum Mind Store."," ","%20"),"💬  ORDER NOW"),""))</f>
        <v/>
      </c>
      <c r="H53" s="31">
        <f>IF($A53="","",IF($F53="⚠️ REORDER NOW",HYPERLINK("mailto:"&amp;_xlfn.XLOOKUP($A53,'Item Master'!$A$4:$A$53,'Item Master'!$J$4:$J$53,"")&amp;"?subject="&amp;SUBSTITUTE("URGENT restock request - "&amp;$B53&amp;" ("&amp;$A53&amp;")"," ","%20")&amp;"&amp;body="&amp;SUBSTITUTE(SUBSTITUTE("Hello "&amp;_xlfn.XLOOKUP($A53,'Item Master'!$A$4:$A$53,'Item Master'!$H$4:$H$53,"Supplier")&amp;"," &amp; CHAR(10) &amp; "We urgently need to restock "&amp;$B53&amp;" (SKU "&amp;$A53&amp;"). Our current stock is "&amp;TEXT($E53,"0")&amp;"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3" s="32">
        <f>IF($A53="","",$E53*_xlfn.XLOOKUP($A53,'Item Master'!$A$4:$A$53,'Item Master'!$D$4:$D$53,0))</f>
        <v/>
      </c>
    </row>
    <row r="54" ht="32" customHeight="1">
      <c r="A54" s="26">
        <f>IF(INDEX('Item Master'!$A$4:$A$53,46)="","",INDEX('Item Master'!$A$4:$A$53,46))</f>
        <v/>
      </c>
      <c r="B54" s="27">
        <f>IF($A54="","",_xlfn.XLOOKUP($A54,'Item Master'!$A$4:$A$53,'Item Master'!$B$4:$B$53,""))</f>
        <v/>
      </c>
      <c r="C54" s="28">
        <f>IF($A54="","",SUMIFS('Log Transaction'!$E$4:$E$303,'Log Transaction'!$C$4:$C$303,$A54,'Log Transaction'!$D$4:$D$303,"IN"))</f>
        <v/>
      </c>
      <c r="D54" s="28">
        <f>IF($A54="","",SUMIFS('Log Transaction'!$E$4:$E$303,'Log Transaction'!$C$4:$C$303,$A54,'Log Transaction'!$D$4:$D$303,"OUT")+SUMIFS('Log Transaction'!$E$4:$E$303,'Log Transaction'!$C$4:$C$303,$A54,'Log Transaction'!$D$4:$D$303,"SHRINKAGE"))</f>
        <v/>
      </c>
      <c r="E54" s="29">
        <f>IF($A54="","",$C54-$D54)</f>
        <v/>
      </c>
      <c r="F54" s="30">
        <f>IF($A54="","",IF($E54&lt;=_xlfn.XLOOKUP($A54,'Item Master'!$A$4:$A$53,'Item Master'!$F$4:$F$53,0)*0.1,"⚠️ REORDER NOW","✅ IN STOCK"))</f>
        <v/>
      </c>
      <c r="G54" s="31">
        <f>IF($A54="","",IF($F54="⚠️ REORDER NOW",HYPERLINK("https://wa.me/"&amp;SUBSTITUTE(SUBSTITUTE(SUBSTITUTE(SUBSTITUTE(SUBSTITUTE(SUBSTITUTE(_xlfn.XLOOKUP($A54,'Item Master'!$A$4:$A$53,'Item Master'!$I$4:$I$53,""),"+",""),"-","")," ",""),"(",""),")",""),".","")&amp;"?text="&amp;SUBSTITUTE("Hello "&amp;_xlfn.XLOOKUP($A54,'Item Master'!$A$4:$A$53,'Item Master'!$H$4:$H$53,"Supplier")&amp;", we urgently need more "&amp;$B54&amp;". Current stock is only "&amp;TEXT($E54,"0")&amp;" units. Please confirm availability and your fastest lead time. Thank you - Momentum Mind Store."," ","%20"),"💬  ORDER NOW"),""))</f>
        <v/>
      </c>
      <c r="H54" s="31">
        <f>IF($A54="","",IF($F54="⚠️ REORDER NOW",HYPERLINK("mailto:"&amp;_xlfn.XLOOKUP($A54,'Item Master'!$A$4:$A$53,'Item Master'!$J$4:$J$53,"")&amp;"?subject="&amp;SUBSTITUTE("URGENT restock request - "&amp;$B54&amp;" ("&amp;$A54&amp;")"," ","%20")&amp;"&amp;body="&amp;SUBSTITUTE(SUBSTITUTE("Hello "&amp;_xlfn.XLOOKUP($A54,'Item Master'!$A$4:$A$53,'Item Master'!$H$4:$H$53,"Supplier")&amp;"," &amp; CHAR(10) &amp; "We urgently need to restock "&amp;$B54&amp;" (SKU "&amp;$A54&amp;"). Our current stock is "&amp;TEXT($E54,"0")&amp;"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4" s="32">
        <f>IF($A54="","",$E54*_xlfn.XLOOKUP($A54,'Item Master'!$A$4:$A$53,'Item Master'!$D$4:$D$53,0))</f>
        <v/>
      </c>
    </row>
    <row r="55" ht="32" customHeight="1">
      <c r="A55" s="26">
        <f>IF(INDEX('Item Master'!$A$4:$A$53,47)="","",INDEX('Item Master'!$A$4:$A$53,47))</f>
        <v/>
      </c>
      <c r="B55" s="27">
        <f>IF($A55="","",_xlfn.XLOOKUP($A55,'Item Master'!$A$4:$A$53,'Item Master'!$B$4:$B$53,""))</f>
        <v/>
      </c>
      <c r="C55" s="28">
        <f>IF($A55="","",SUMIFS('Log Transaction'!$E$4:$E$303,'Log Transaction'!$C$4:$C$303,$A55,'Log Transaction'!$D$4:$D$303,"IN"))</f>
        <v/>
      </c>
      <c r="D55" s="28">
        <f>IF($A55="","",SUMIFS('Log Transaction'!$E$4:$E$303,'Log Transaction'!$C$4:$C$303,$A55,'Log Transaction'!$D$4:$D$303,"OUT")+SUMIFS('Log Transaction'!$E$4:$E$303,'Log Transaction'!$C$4:$C$303,$A55,'Log Transaction'!$D$4:$D$303,"SHRINKAGE"))</f>
        <v/>
      </c>
      <c r="E55" s="29">
        <f>IF($A55="","",$C55-$D55)</f>
        <v/>
      </c>
      <c r="F55" s="30">
        <f>IF($A55="","",IF($E55&lt;=_xlfn.XLOOKUP($A55,'Item Master'!$A$4:$A$53,'Item Master'!$F$4:$F$53,0)*0.1,"⚠️ REORDER NOW","✅ IN STOCK"))</f>
        <v/>
      </c>
      <c r="G55" s="31">
        <f>IF($A55="","",IF($F55="⚠️ REORDER NOW",HYPERLINK("https://wa.me/"&amp;SUBSTITUTE(SUBSTITUTE(SUBSTITUTE(SUBSTITUTE(SUBSTITUTE(SUBSTITUTE(_xlfn.XLOOKUP($A55,'Item Master'!$A$4:$A$53,'Item Master'!$I$4:$I$53,""),"+",""),"-","")," ",""),"(",""),")",""),".","")&amp;"?text="&amp;SUBSTITUTE("Hello "&amp;_xlfn.XLOOKUP($A55,'Item Master'!$A$4:$A$53,'Item Master'!$H$4:$H$53,"Supplier")&amp;", we urgently need more "&amp;$B55&amp;". Current stock is only "&amp;TEXT($E55,"0")&amp;" units. Please confirm availability and your fastest lead time. Thank you - Momentum Mind Store."," ","%20"),"💬  ORDER NOW"),""))</f>
        <v/>
      </c>
      <c r="H55" s="31">
        <f>IF($A55="","",IF($F55="⚠️ REORDER NOW",HYPERLINK("mailto:"&amp;_xlfn.XLOOKUP($A55,'Item Master'!$A$4:$A$53,'Item Master'!$J$4:$J$53,"")&amp;"?subject="&amp;SUBSTITUTE("URGENT restock request - "&amp;$B55&amp;" ("&amp;$A55&amp;")"," ","%20")&amp;"&amp;body="&amp;SUBSTITUTE(SUBSTITUTE("Hello "&amp;_xlfn.XLOOKUP($A55,'Item Master'!$A$4:$A$53,'Item Master'!$H$4:$H$53,"Supplier")&amp;"," &amp; CHAR(10) &amp; "We urgently need to restock "&amp;$B55&amp;" (SKU "&amp;$A55&amp;"). Our current stock is "&amp;TEXT($E55,"0")&amp;"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5" s="32">
        <f>IF($A55="","",$E55*_xlfn.XLOOKUP($A55,'Item Master'!$A$4:$A$53,'Item Master'!$D$4:$D$53,0))</f>
        <v/>
      </c>
    </row>
    <row r="56" ht="32" customHeight="1">
      <c r="A56" s="26">
        <f>IF(INDEX('Item Master'!$A$4:$A$53,48)="","",INDEX('Item Master'!$A$4:$A$53,48))</f>
        <v/>
      </c>
      <c r="B56" s="27">
        <f>IF($A56="","",_xlfn.XLOOKUP($A56,'Item Master'!$A$4:$A$53,'Item Master'!$B$4:$B$53,""))</f>
        <v/>
      </c>
      <c r="C56" s="28">
        <f>IF($A56="","",SUMIFS('Log Transaction'!$E$4:$E$303,'Log Transaction'!$C$4:$C$303,$A56,'Log Transaction'!$D$4:$D$303,"IN"))</f>
        <v/>
      </c>
      <c r="D56" s="28">
        <f>IF($A56="","",SUMIFS('Log Transaction'!$E$4:$E$303,'Log Transaction'!$C$4:$C$303,$A56,'Log Transaction'!$D$4:$D$303,"OUT")+SUMIFS('Log Transaction'!$E$4:$E$303,'Log Transaction'!$C$4:$C$303,$A56,'Log Transaction'!$D$4:$D$303,"SHRINKAGE"))</f>
        <v/>
      </c>
      <c r="E56" s="29">
        <f>IF($A56="","",$C56-$D56)</f>
        <v/>
      </c>
      <c r="F56" s="30">
        <f>IF($A56="","",IF($E56&lt;=_xlfn.XLOOKUP($A56,'Item Master'!$A$4:$A$53,'Item Master'!$F$4:$F$53,0)*0.1,"⚠️ REORDER NOW","✅ IN STOCK"))</f>
        <v/>
      </c>
      <c r="G56" s="31">
        <f>IF($A56="","",IF($F56="⚠️ REORDER NOW",HYPERLINK("https://wa.me/"&amp;SUBSTITUTE(SUBSTITUTE(SUBSTITUTE(SUBSTITUTE(SUBSTITUTE(SUBSTITUTE(_xlfn.XLOOKUP($A56,'Item Master'!$A$4:$A$53,'Item Master'!$I$4:$I$53,""),"+",""),"-","")," ",""),"(",""),")",""),".","")&amp;"?text="&amp;SUBSTITUTE("Hello "&amp;_xlfn.XLOOKUP($A56,'Item Master'!$A$4:$A$53,'Item Master'!$H$4:$H$53,"Supplier")&amp;", we urgently need more "&amp;$B56&amp;". Current stock is only "&amp;TEXT($E56,"0")&amp;" units. Please confirm availability and your fastest lead time. Thank you - Momentum Mind Store."," ","%20"),"💬  ORDER NOW"),""))</f>
        <v/>
      </c>
      <c r="H56" s="31">
        <f>IF($A56="","",IF($F56="⚠️ REORDER NOW",HYPERLINK("mailto:"&amp;_xlfn.XLOOKUP($A56,'Item Master'!$A$4:$A$53,'Item Master'!$J$4:$J$53,"")&amp;"?subject="&amp;SUBSTITUTE("URGENT restock request - "&amp;$B56&amp;" ("&amp;$A56&amp;")"," ","%20")&amp;"&amp;body="&amp;SUBSTITUTE(SUBSTITUTE("Hello "&amp;_xlfn.XLOOKUP($A56,'Item Master'!$A$4:$A$53,'Item Master'!$H$4:$H$53,"Supplier")&amp;"," &amp; CHAR(10) &amp; "We urgently need to restock "&amp;$B56&amp;" (SKU "&amp;$A56&amp;"). Our current stock is "&amp;TEXT($E56,"0")&amp;"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6" s="32">
        <f>IF($A56="","",$E56*_xlfn.XLOOKUP($A56,'Item Master'!$A$4:$A$53,'Item Master'!$D$4:$D$53,0))</f>
        <v/>
      </c>
    </row>
    <row r="57" ht="32" customHeight="1">
      <c r="A57" s="26">
        <f>IF(INDEX('Item Master'!$A$4:$A$53,49)="","",INDEX('Item Master'!$A$4:$A$53,49))</f>
        <v/>
      </c>
      <c r="B57" s="27">
        <f>IF($A57="","",_xlfn.XLOOKUP($A57,'Item Master'!$A$4:$A$53,'Item Master'!$B$4:$B$53,""))</f>
        <v/>
      </c>
      <c r="C57" s="28">
        <f>IF($A57="","",SUMIFS('Log Transaction'!$E$4:$E$303,'Log Transaction'!$C$4:$C$303,$A57,'Log Transaction'!$D$4:$D$303,"IN"))</f>
        <v/>
      </c>
      <c r="D57" s="28">
        <f>IF($A57="","",SUMIFS('Log Transaction'!$E$4:$E$303,'Log Transaction'!$C$4:$C$303,$A57,'Log Transaction'!$D$4:$D$303,"OUT")+SUMIFS('Log Transaction'!$E$4:$E$303,'Log Transaction'!$C$4:$C$303,$A57,'Log Transaction'!$D$4:$D$303,"SHRINKAGE"))</f>
        <v/>
      </c>
      <c r="E57" s="29">
        <f>IF($A57="","",$C57-$D57)</f>
        <v/>
      </c>
      <c r="F57" s="30">
        <f>IF($A57="","",IF($E57&lt;=_xlfn.XLOOKUP($A57,'Item Master'!$A$4:$A$53,'Item Master'!$F$4:$F$53,0)*0.1,"⚠️ REORDER NOW","✅ IN STOCK"))</f>
        <v/>
      </c>
      <c r="G57" s="31">
        <f>IF($A57="","",IF($F57="⚠️ REORDER NOW",HYPERLINK("https://wa.me/"&amp;SUBSTITUTE(SUBSTITUTE(SUBSTITUTE(SUBSTITUTE(SUBSTITUTE(SUBSTITUTE(_xlfn.XLOOKUP($A57,'Item Master'!$A$4:$A$53,'Item Master'!$I$4:$I$53,""),"+",""),"-","")," ",""),"(",""),")",""),".","")&amp;"?text="&amp;SUBSTITUTE("Hello "&amp;_xlfn.XLOOKUP($A57,'Item Master'!$A$4:$A$53,'Item Master'!$H$4:$H$53,"Supplier")&amp;", we urgently need more "&amp;$B57&amp;". Current stock is only "&amp;TEXT($E57,"0")&amp;" units. Please confirm availability and your fastest lead time. Thank you - Momentum Mind Store."," ","%20"),"💬  ORDER NOW"),""))</f>
        <v/>
      </c>
      <c r="H57" s="31">
        <f>IF($A57="","",IF($F57="⚠️ REORDER NOW",HYPERLINK("mailto:"&amp;_xlfn.XLOOKUP($A57,'Item Master'!$A$4:$A$53,'Item Master'!$J$4:$J$53,"")&amp;"?subject="&amp;SUBSTITUTE("URGENT restock request - "&amp;$B57&amp;" ("&amp;$A57&amp;")"," ","%20")&amp;"&amp;body="&amp;SUBSTITUTE(SUBSTITUTE("Hello "&amp;_xlfn.XLOOKUP($A57,'Item Master'!$A$4:$A$53,'Item Master'!$H$4:$H$53,"Supplier")&amp;"," &amp; CHAR(10) &amp; "We urgently need to restock "&amp;$B57&amp;" (SKU "&amp;$A57&amp;"). Our current stock is "&amp;TEXT($E57,"0")&amp;"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7" s="32">
        <f>IF($A57="","",$E57*_xlfn.XLOOKUP($A57,'Item Master'!$A$4:$A$53,'Item Master'!$D$4:$D$53,0))</f>
        <v/>
      </c>
    </row>
    <row r="58" ht="32" customHeight="1">
      <c r="A58" s="26">
        <f>IF(INDEX('Item Master'!$A$4:$A$53,50)="","",INDEX('Item Master'!$A$4:$A$53,50))</f>
        <v/>
      </c>
      <c r="B58" s="27">
        <f>IF($A58="","",_xlfn.XLOOKUP($A58,'Item Master'!$A$4:$A$53,'Item Master'!$B$4:$B$53,""))</f>
        <v/>
      </c>
      <c r="C58" s="28">
        <f>IF($A58="","",SUMIFS('Log Transaction'!$E$4:$E$303,'Log Transaction'!$C$4:$C$303,$A58,'Log Transaction'!$D$4:$D$303,"IN"))</f>
        <v/>
      </c>
      <c r="D58" s="28">
        <f>IF($A58="","",SUMIFS('Log Transaction'!$E$4:$E$303,'Log Transaction'!$C$4:$C$303,$A58,'Log Transaction'!$D$4:$D$303,"OUT")+SUMIFS('Log Transaction'!$E$4:$E$303,'Log Transaction'!$C$4:$C$303,$A58,'Log Transaction'!$D$4:$D$303,"SHRINKAGE"))</f>
        <v/>
      </c>
      <c r="E58" s="29">
        <f>IF($A58="","",$C58-$D58)</f>
        <v/>
      </c>
      <c r="F58" s="30">
        <f>IF($A58="","",IF($E58&lt;=_xlfn.XLOOKUP($A58,'Item Master'!$A$4:$A$53,'Item Master'!$F$4:$F$53,0)*0.1,"⚠️ REORDER NOW","✅ IN STOCK"))</f>
        <v/>
      </c>
      <c r="G58" s="31">
        <f>IF($A58="","",IF($F58="⚠️ REORDER NOW",HYPERLINK("https://wa.me/"&amp;SUBSTITUTE(SUBSTITUTE(SUBSTITUTE(SUBSTITUTE(SUBSTITUTE(SUBSTITUTE(_xlfn.XLOOKUP($A58,'Item Master'!$A$4:$A$53,'Item Master'!$I$4:$I$53,""),"+",""),"-","")," ",""),"(",""),")",""),".","")&amp;"?text="&amp;SUBSTITUTE("Hello "&amp;_xlfn.XLOOKUP($A58,'Item Master'!$A$4:$A$53,'Item Master'!$H$4:$H$53,"Supplier")&amp;", we urgently need more "&amp;$B58&amp;". Current stock is only "&amp;TEXT($E58,"0")&amp;" units. Please confirm availability and your fastest lead time. Thank you - Momentum Mind Store."," ","%20"),"💬  ORDER NOW"),""))</f>
        <v/>
      </c>
      <c r="H58" s="31">
        <f>IF($A58="","",IF($F58="⚠️ REORDER NOW",HYPERLINK("mailto:"&amp;_xlfn.XLOOKUP($A58,'Item Master'!$A$4:$A$53,'Item Master'!$J$4:$J$53,"")&amp;"?subject="&amp;SUBSTITUTE("URGENT restock request - "&amp;$B58&amp;" ("&amp;$A58&amp;")"," ","%20")&amp;"&amp;body="&amp;SUBSTITUTE(SUBSTITUTE("Hello "&amp;_xlfn.XLOOKUP($A58,'Item Master'!$A$4:$A$53,'Item Master'!$H$4:$H$53,"Supplier")&amp;"," &amp; CHAR(10) &amp; "We urgently need to restock "&amp;$B58&amp;" (SKU "&amp;$A58&amp;"). Our current stock is "&amp;TEXT($E58,"0")&amp;" units, which is below our reorder threshold." &amp; CHAR(10) &amp; "Please confirm availability, unit price and lead time by return." &amp; CHAR(10) &amp; "Kind regards," &amp; CHAR(10) &amp; "Momentum Mind Store"," ","%20"),CHAR(10),"%0D%0A"),"✉️  EMAIL"),""))</f>
        <v/>
      </c>
      <c r="I58" s="32">
        <f>IF($A58="","",$E58*_xlfn.XLOOKUP($A58,'Item Master'!$A$4:$A$53,'Item Master'!$D$4:$D$53,0))</f>
        <v/>
      </c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</sheetData>
  <mergeCells count="10">
    <mergeCell ref="A4:H4"/>
    <mergeCell ref="C7:D7"/>
    <mergeCell ref="A7:B7"/>
    <mergeCell ref="G7:H7"/>
    <mergeCell ref="C1:D1"/>
    <mergeCell ref="E7:F7"/>
    <mergeCell ref="G1:H1"/>
    <mergeCell ref="A1:B1"/>
    <mergeCell ref="A5:H5"/>
    <mergeCell ref="A6:H6"/>
  </mergeCells>
  <conditionalFormatting sqref="F9:F58">
    <cfRule type="expression" priority="1" dxfId="0" stopIfTrue="0">
      <formula>$F9="⚠️ REORDER NOW"</formula>
    </cfRule>
    <cfRule type="expression" priority="2" dxfId="1" stopIfTrue="0">
      <formula>$F9="✅ IN STOCK"</formula>
    </cfRule>
  </conditionalFormatting>
  <conditionalFormatting sqref="E9:E58">
    <cfRule type="expression" priority="3" dxfId="2" stopIfTrue="0">
      <formula>AND($A9&lt;&gt;"",$E9&lt;=0)</formula>
    </cfRule>
  </conditionalFormatting>
  <conditionalFormatting sqref="G9:G58">
    <cfRule type="expression" priority="4" dxfId="3" stopIfTrue="1">
      <formula>$G9&lt;&gt;""</formula>
    </cfRule>
  </conditionalFormatting>
  <conditionalFormatting sqref="H9:H58">
    <cfRule type="expression" priority="5" dxfId="4" stopIfTrue="1">
      <formula>$H9&lt;&gt;""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4F46E5"/>
    <outlinePr summaryBelow="1" summaryRight="1"/>
    <pageSetUpPr/>
  </sheetPr>
  <dimension ref="A1:J319"/>
  <sheetViews>
    <sheetView showGridLines="0" showRowColHeader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  <col width="18" customWidth="1" min="9" max="9"/>
    <col width="28" customWidth="1" min="10" max="10"/>
  </cols>
  <sheetData>
    <row r="1" ht="40" customHeight="1">
      <c r="A1" s="1">
        <f>HYPERLINK("#'Dashboard'!A1","🏠 Dashboard")</f>
        <v/>
      </c>
      <c r="C1" s="1">
        <f>HYPERLINK("#'Item Master'!A1","📦 Products")</f>
        <v/>
      </c>
      <c r="E1" s="1">
        <f>HYPERLINK("#'Log Transaction'!A1","✍️ Log Sale")</f>
        <v/>
      </c>
      <c r="G1" s="1">
        <f>HYPERLINK("#'Invoice Generator'!A1","🧾 Invoice")</f>
        <v/>
      </c>
      <c r="I1" s="1">
        <f>HYPERLINK("#'Start Here'!A1","🚀 Start Here")</f>
        <v/>
      </c>
    </row>
    <row r="2" ht="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8" customHeight="1">
      <c r="A3" s="33" t="inlineStr">
        <is>
          <t>SKU</t>
        </is>
      </c>
      <c r="B3" s="33" t="inlineStr">
        <is>
          <t>📦 Product Name</t>
        </is>
      </c>
      <c r="C3" s="33" t="inlineStr">
        <is>
          <t>Category</t>
        </is>
      </c>
      <c r="D3" s="33" t="inlineStr">
        <is>
          <t>Cost</t>
        </is>
      </c>
      <c r="E3" s="33" t="inlineStr">
        <is>
          <t>Price</t>
        </is>
      </c>
      <c r="F3" s="33" t="inlineStr">
        <is>
          <t>Max Stock</t>
        </is>
      </c>
      <c r="G3" s="33" t="inlineStr">
        <is>
          <t>Reorder Point</t>
        </is>
      </c>
      <c r="H3" s="33" t="inlineStr">
        <is>
          <t>Supplier Name</t>
        </is>
      </c>
      <c r="I3" s="33" t="inlineStr">
        <is>
          <t>📞 Supp. Phone</t>
        </is>
      </c>
      <c r="J3" s="33" t="inlineStr">
        <is>
          <t>✉️ Supp. Email</t>
        </is>
      </c>
    </row>
    <row r="4" ht="32" customHeight="1">
      <c r="A4" s="34" t="inlineStr">
        <is>
          <t>LAV-001</t>
        </is>
      </c>
      <c r="B4" s="35" t="inlineStr">
        <is>
          <t>🕯️ Lavender Soy Candle 220g</t>
        </is>
      </c>
      <c r="C4" s="35" t="inlineStr">
        <is>
          <t>Home Fragrance</t>
        </is>
      </c>
      <c r="D4" s="36" t="n">
        <v>6.5</v>
      </c>
      <c r="E4" s="36" t="n">
        <v>18</v>
      </c>
      <c r="F4" s="37" t="n">
        <v>120</v>
      </c>
      <c r="G4" s="37" t="n">
        <v>25</v>
      </c>
      <c r="H4" s="35" t="inlineStr">
        <is>
          <t>Aurora Wax Co.</t>
        </is>
      </c>
      <c r="I4" s="38" t="inlineStr">
        <is>
          <t>15551234567</t>
        </is>
      </c>
      <c r="J4" s="35" t="inlineStr">
        <is>
          <t>orders@aurorawax.com</t>
        </is>
      </c>
    </row>
    <row r="5" ht="32" customHeight="1">
      <c r="A5" s="34" t="inlineStr">
        <is>
          <t>CER-014</t>
        </is>
      </c>
      <c r="B5" s="35" t="inlineStr">
        <is>
          <t>☕ Ceramic Mug — Sand</t>
        </is>
      </c>
      <c r="C5" s="35" t="inlineStr">
        <is>
          <t>Drinkware</t>
        </is>
      </c>
      <c r="D5" s="36" t="n">
        <v>4.2</v>
      </c>
      <c r="E5" s="36" t="n">
        <v>14</v>
      </c>
      <c r="F5" s="37" t="n">
        <v>200</v>
      </c>
      <c r="G5" s="37" t="n">
        <v>40</v>
      </c>
      <c r="H5" s="35" t="inlineStr">
        <is>
          <t>Kiln &amp; Clay Ltd</t>
        </is>
      </c>
      <c r="I5" s="38" t="inlineStr">
        <is>
          <t>15559876543</t>
        </is>
      </c>
      <c r="J5" s="35" t="inlineStr">
        <is>
          <t>sales@kilnclay.com</t>
        </is>
      </c>
    </row>
    <row r="6" ht="32" customHeight="1">
      <c r="A6" s="34" t="inlineStr">
        <is>
          <t>TOT-007</t>
        </is>
      </c>
      <c r="B6" s="35" t="inlineStr">
        <is>
          <t>👜 Canvas Tote Bag — Natural</t>
        </is>
      </c>
      <c r="C6" s="35" t="inlineStr">
        <is>
          <t>Bags</t>
        </is>
      </c>
      <c r="D6" s="36" t="n">
        <v>3.8</v>
      </c>
      <c r="E6" s="36" t="n">
        <v>12.5</v>
      </c>
      <c r="F6" s="37" t="n">
        <v>150</v>
      </c>
      <c r="G6" s="37" t="n">
        <v>30</v>
      </c>
      <c r="H6" s="35" t="inlineStr">
        <is>
          <t>NorthLoom Textiles</t>
        </is>
      </c>
      <c r="I6" s="38" t="inlineStr">
        <is>
          <t>15554567890</t>
        </is>
      </c>
      <c r="J6" s="35" t="inlineStr">
        <is>
          <t>hello@northloom.com</t>
        </is>
      </c>
    </row>
    <row r="7" ht="32" customHeight="1">
      <c r="A7" s="34" t="inlineStr">
        <is>
          <t>JRN-002</t>
        </is>
      </c>
      <c r="B7" s="35" t="inlineStr">
        <is>
          <t>📓 Linen Journal A5</t>
        </is>
      </c>
      <c r="C7" s="35" t="inlineStr">
        <is>
          <t>Stationery</t>
        </is>
      </c>
      <c r="D7" s="36" t="n">
        <v>5.1</v>
      </c>
      <c r="E7" s="36" t="n">
        <v>16</v>
      </c>
      <c r="F7" s="37" t="n">
        <v>100</v>
      </c>
      <c r="G7" s="37" t="n">
        <v>20</v>
      </c>
      <c r="H7" s="35" t="inlineStr">
        <is>
          <t>PaperFold Studio</t>
        </is>
      </c>
      <c r="I7" s="38" t="inlineStr">
        <is>
          <t>15553216549</t>
        </is>
      </c>
      <c r="J7" s="35" t="inlineStr">
        <is>
          <t>supply@paperfold.com</t>
        </is>
      </c>
    </row>
    <row r="8" ht="32" customHeight="1">
      <c r="A8" s="34" t="inlineStr">
        <is>
          <t>SKN-021</t>
        </is>
      </c>
      <c r="B8" s="35" t="inlineStr">
        <is>
          <t>🧴 Botanical Body Oil 100ml</t>
        </is>
      </c>
      <c r="C8" s="35" t="inlineStr">
        <is>
          <t>Skincare</t>
        </is>
      </c>
      <c r="D8" s="36" t="n">
        <v>7.9</v>
      </c>
      <c r="E8" s="36" t="n">
        <v>24</v>
      </c>
      <c r="F8" s="37" t="n">
        <v>80</v>
      </c>
      <c r="G8" s="37" t="n">
        <v>16</v>
      </c>
      <c r="H8" s="35" t="inlineStr">
        <is>
          <t>Botanica Labs</t>
        </is>
      </c>
      <c r="I8" s="38" t="inlineStr">
        <is>
          <t>15557778888</t>
        </is>
      </c>
      <c r="J8" s="35" t="inlineStr">
        <is>
          <t>orders@botanicalabs.com</t>
        </is>
      </c>
    </row>
    <row r="9" ht="32" customHeight="1">
      <c r="A9" s="34" t="inlineStr">
        <is>
          <t>TEA-009</t>
        </is>
      </c>
      <c r="B9" s="35" t="inlineStr">
        <is>
          <t>🍵 Loose Leaf Tea 200g</t>
        </is>
      </c>
      <c r="C9" s="35" t="inlineStr">
        <is>
          <t>Pantry</t>
        </is>
      </c>
      <c r="D9" s="36" t="n">
        <v>5.6</v>
      </c>
      <c r="E9" s="36" t="n">
        <v>17.5</v>
      </c>
      <c r="F9" s="37" t="n">
        <v>90</v>
      </c>
      <c r="G9" s="37" t="n">
        <v>18</v>
      </c>
      <c r="H9" s="35" t="inlineStr">
        <is>
          <t>Verde Leaf Imports</t>
        </is>
      </c>
      <c r="I9" s="38" t="inlineStr">
        <is>
          <t>15552223333</t>
        </is>
      </c>
      <c r="J9" s="35" t="inlineStr">
        <is>
          <t>buy@verdeleaf.com</t>
        </is>
      </c>
    </row>
    <row r="10" ht="32" customHeight="1">
      <c r="A10" s="39" t="n"/>
      <c r="B10" s="39" t="n"/>
      <c r="C10" s="39" t="n"/>
      <c r="D10" s="40" t="n"/>
      <c r="E10" s="40" t="n"/>
      <c r="F10" s="41" t="n"/>
      <c r="G10" s="41" t="n"/>
      <c r="H10" s="39" t="n"/>
      <c r="I10" s="42" t="n"/>
      <c r="J10" s="39" t="n"/>
    </row>
    <row r="11" ht="32" customHeight="1">
      <c r="A11" s="39" t="n"/>
      <c r="B11" s="39" t="n"/>
      <c r="C11" s="39" t="n"/>
      <c r="D11" s="40" t="n"/>
      <c r="E11" s="40" t="n"/>
      <c r="F11" s="41" t="n"/>
      <c r="G11" s="41" t="n"/>
      <c r="H11" s="39" t="n"/>
      <c r="I11" s="42" t="n"/>
      <c r="J11" s="39" t="n"/>
    </row>
    <row r="12" ht="32" customHeight="1">
      <c r="A12" s="39" t="n"/>
      <c r="B12" s="39" t="n"/>
      <c r="C12" s="39" t="n"/>
      <c r="D12" s="40" t="n"/>
      <c r="E12" s="40" t="n"/>
      <c r="F12" s="41" t="n"/>
      <c r="G12" s="41" t="n"/>
      <c r="H12" s="39" t="n"/>
      <c r="I12" s="42" t="n"/>
      <c r="J12" s="39" t="n"/>
    </row>
    <row r="13" ht="32" customHeight="1">
      <c r="A13" s="39" t="n"/>
      <c r="B13" s="39" t="n"/>
      <c r="C13" s="39" t="n"/>
      <c r="D13" s="40" t="n"/>
      <c r="E13" s="40" t="n"/>
      <c r="F13" s="41" t="n"/>
      <c r="G13" s="41" t="n"/>
      <c r="H13" s="39" t="n"/>
      <c r="I13" s="42" t="n"/>
      <c r="J13" s="39" t="n"/>
    </row>
    <row r="14" ht="32" customHeight="1">
      <c r="A14" s="39" t="n"/>
      <c r="B14" s="39" t="n"/>
      <c r="C14" s="39" t="n"/>
      <c r="D14" s="40" t="n"/>
      <c r="E14" s="40" t="n"/>
      <c r="F14" s="41" t="n"/>
      <c r="G14" s="41" t="n"/>
      <c r="H14" s="39" t="n"/>
      <c r="I14" s="42" t="n"/>
      <c r="J14" s="39" t="n"/>
    </row>
    <row r="15" ht="32" customHeight="1">
      <c r="A15" s="39" t="n"/>
      <c r="B15" s="39" t="n"/>
      <c r="C15" s="39" t="n"/>
      <c r="D15" s="40" t="n"/>
      <c r="E15" s="40" t="n"/>
      <c r="F15" s="41" t="n"/>
      <c r="G15" s="41" t="n"/>
      <c r="H15" s="39" t="n"/>
      <c r="I15" s="42" t="n"/>
      <c r="J15" s="39" t="n"/>
    </row>
    <row r="16" ht="32" customHeight="1">
      <c r="A16" s="39" t="n"/>
      <c r="B16" s="39" t="n"/>
      <c r="C16" s="39" t="n"/>
      <c r="D16" s="40" t="n"/>
      <c r="E16" s="40" t="n"/>
      <c r="F16" s="41" t="n"/>
      <c r="G16" s="41" t="n"/>
      <c r="H16" s="39" t="n"/>
      <c r="I16" s="42" t="n"/>
      <c r="J16" s="39" t="n"/>
    </row>
    <row r="17" ht="32" customHeight="1">
      <c r="A17" s="39" t="n"/>
      <c r="B17" s="39" t="n"/>
      <c r="C17" s="39" t="n"/>
      <c r="D17" s="40" t="n"/>
      <c r="E17" s="40" t="n"/>
      <c r="F17" s="41" t="n"/>
      <c r="G17" s="41" t="n"/>
      <c r="H17" s="39" t="n"/>
      <c r="I17" s="42" t="n"/>
      <c r="J17" s="39" t="n"/>
    </row>
    <row r="18" ht="32" customHeight="1">
      <c r="A18" s="39" t="n"/>
      <c r="B18" s="39" t="n"/>
      <c r="C18" s="39" t="n"/>
      <c r="D18" s="40" t="n"/>
      <c r="E18" s="40" t="n"/>
      <c r="F18" s="41" t="n"/>
      <c r="G18" s="41" t="n"/>
      <c r="H18" s="39" t="n"/>
      <c r="I18" s="42" t="n"/>
      <c r="J18" s="39" t="n"/>
    </row>
    <row r="19" ht="32" customHeight="1">
      <c r="A19" s="39" t="n"/>
      <c r="B19" s="39" t="n"/>
      <c r="C19" s="39" t="n"/>
      <c r="D19" s="40" t="n"/>
      <c r="E19" s="40" t="n"/>
      <c r="F19" s="41" t="n"/>
      <c r="G19" s="41" t="n"/>
      <c r="H19" s="39" t="n"/>
      <c r="I19" s="42" t="n"/>
      <c r="J19" s="39" t="n"/>
    </row>
    <row r="20" ht="32" customHeight="1">
      <c r="A20" s="39" t="n"/>
      <c r="B20" s="39" t="n"/>
      <c r="C20" s="39" t="n"/>
      <c r="D20" s="40" t="n"/>
      <c r="E20" s="40" t="n"/>
      <c r="F20" s="41" t="n"/>
      <c r="G20" s="41" t="n"/>
      <c r="H20" s="39" t="n"/>
      <c r="I20" s="42" t="n"/>
      <c r="J20" s="39" t="n"/>
    </row>
    <row r="21" ht="32" customHeight="1">
      <c r="A21" s="39" t="n"/>
      <c r="B21" s="39" t="n"/>
      <c r="C21" s="39" t="n"/>
      <c r="D21" s="40" t="n"/>
      <c r="E21" s="40" t="n"/>
      <c r="F21" s="41" t="n"/>
      <c r="G21" s="41" t="n"/>
      <c r="H21" s="39" t="n"/>
      <c r="I21" s="42" t="n"/>
      <c r="J21" s="39" t="n"/>
    </row>
    <row r="22" ht="32" customHeight="1">
      <c r="A22" s="39" t="n"/>
      <c r="B22" s="39" t="n"/>
      <c r="C22" s="39" t="n"/>
      <c r="D22" s="40" t="n"/>
      <c r="E22" s="40" t="n"/>
      <c r="F22" s="41" t="n"/>
      <c r="G22" s="41" t="n"/>
      <c r="H22" s="39" t="n"/>
      <c r="I22" s="42" t="n"/>
      <c r="J22" s="39" t="n"/>
    </row>
    <row r="23" ht="32" customHeight="1">
      <c r="A23" s="39" t="n"/>
      <c r="B23" s="39" t="n"/>
      <c r="C23" s="39" t="n"/>
      <c r="D23" s="40" t="n"/>
      <c r="E23" s="40" t="n"/>
      <c r="F23" s="41" t="n"/>
      <c r="G23" s="41" t="n"/>
      <c r="H23" s="39" t="n"/>
      <c r="I23" s="42" t="n"/>
      <c r="J23" s="39" t="n"/>
    </row>
    <row r="24" ht="32" customHeight="1">
      <c r="A24" s="39" t="n"/>
      <c r="B24" s="39" t="n"/>
      <c r="C24" s="39" t="n"/>
      <c r="D24" s="40" t="n"/>
      <c r="E24" s="40" t="n"/>
      <c r="F24" s="41" t="n"/>
      <c r="G24" s="41" t="n"/>
      <c r="H24" s="39" t="n"/>
      <c r="I24" s="42" t="n"/>
      <c r="J24" s="39" t="n"/>
    </row>
    <row r="25" ht="32" customHeight="1">
      <c r="A25" s="39" t="n"/>
      <c r="B25" s="39" t="n"/>
      <c r="C25" s="39" t="n"/>
      <c r="D25" s="40" t="n"/>
      <c r="E25" s="40" t="n"/>
      <c r="F25" s="41" t="n"/>
      <c r="G25" s="41" t="n"/>
      <c r="H25" s="39" t="n"/>
      <c r="I25" s="42" t="n"/>
      <c r="J25" s="39" t="n"/>
    </row>
    <row r="26" ht="32" customHeight="1">
      <c r="A26" s="39" t="n"/>
      <c r="B26" s="39" t="n"/>
      <c r="C26" s="39" t="n"/>
      <c r="D26" s="40" t="n"/>
      <c r="E26" s="40" t="n"/>
      <c r="F26" s="41" t="n"/>
      <c r="G26" s="41" t="n"/>
      <c r="H26" s="39" t="n"/>
      <c r="I26" s="42" t="n"/>
      <c r="J26" s="39" t="n"/>
    </row>
    <row r="27" ht="32" customHeight="1">
      <c r="A27" s="39" t="n"/>
      <c r="B27" s="39" t="n"/>
      <c r="C27" s="39" t="n"/>
      <c r="D27" s="40" t="n"/>
      <c r="E27" s="40" t="n"/>
      <c r="F27" s="41" t="n"/>
      <c r="G27" s="41" t="n"/>
      <c r="H27" s="39" t="n"/>
      <c r="I27" s="42" t="n"/>
      <c r="J27" s="39" t="n"/>
    </row>
    <row r="28" ht="32" customHeight="1">
      <c r="A28" s="39" t="n"/>
      <c r="B28" s="39" t="n"/>
      <c r="C28" s="39" t="n"/>
      <c r="D28" s="40" t="n"/>
      <c r="E28" s="40" t="n"/>
      <c r="F28" s="41" t="n"/>
      <c r="G28" s="41" t="n"/>
      <c r="H28" s="39" t="n"/>
      <c r="I28" s="42" t="n"/>
      <c r="J28" s="39" t="n"/>
    </row>
    <row r="29" ht="32" customHeight="1">
      <c r="A29" s="39" t="n"/>
      <c r="B29" s="39" t="n"/>
      <c r="C29" s="39" t="n"/>
      <c r="D29" s="40" t="n"/>
      <c r="E29" s="40" t="n"/>
      <c r="F29" s="41" t="n"/>
      <c r="G29" s="41" t="n"/>
      <c r="H29" s="39" t="n"/>
      <c r="I29" s="42" t="n"/>
      <c r="J29" s="39" t="n"/>
    </row>
    <row r="30" ht="32" customHeight="1">
      <c r="A30" s="39" t="n"/>
      <c r="B30" s="39" t="n"/>
      <c r="C30" s="39" t="n"/>
      <c r="D30" s="40" t="n"/>
      <c r="E30" s="40" t="n"/>
      <c r="F30" s="41" t="n"/>
      <c r="G30" s="41" t="n"/>
      <c r="H30" s="39" t="n"/>
      <c r="I30" s="42" t="n"/>
      <c r="J30" s="39" t="n"/>
    </row>
    <row r="31" ht="32" customHeight="1">
      <c r="A31" s="39" t="n"/>
      <c r="B31" s="39" t="n"/>
      <c r="C31" s="39" t="n"/>
      <c r="D31" s="40" t="n"/>
      <c r="E31" s="40" t="n"/>
      <c r="F31" s="41" t="n"/>
      <c r="G31" s="41" t="n"/>
      <c r="H31" s="39" t="n"/>
      <c r="I31" s="42" t="n"/>
      <c r="J31" s="39" t="n"/>
    </row>
    <row r="32" ht="32" customHeight="1">
      <c r="A32" s="39" t="n"/>
      <c r="B32" s="39" t="n"/>
      <c r="C32" s="39" t="n"/>
      <c r="D32" s="40" t="n"/>
      <c r="E32" s="40" t="n"/>
      <c r="F32" s="41" t="n"/>
      <c r="G32" s="41" t="n"/>
      <c r="H32" s="39" t="n"/>
      <c r="I32" s="42" t="n"/>
      <c r="J32" s="39" t="n"/>
    </row>
    <row r="33" ht="32" customHeight="1">
      <c r="A33" s="39" t="n"/>
      <c r="B33" s="39" t="n"/>
      <c r="C33" s="39" t="n"/>
      <c r="D33" s="40" t="n"/>
      <c r="E33" s="40" t="n"/>
      <c r="F33" s="41" t="n"/>
      <c r="G33" s="41" t="n"/>
      <c r="H33" s="39" t="n"/>
      <c r="I33" s="42" t="n"/>
      <c r="J33" s="39" t="n"/>
    </row>
    <row r="34" ht="32" customHeight="1">
      <c r="A34" s="39" t="n"/>
      <c r="B34" s="39" t="n"/>
      <c r="C34" s="39" t="n"/>
      <c r="D34" s="40" t="n"/>
      <c r="E34" s="40" t="n"/>
      <c r="F34" s="41" t="n"/>
      <c r="G34" s="41" t="n"/>
      <c r="H34" s="39" t="n"/>
      <c r="I34" s="42" t="n"/>
      <c r="J34" s="39" t="n"/>
    </row>
    <row r="35" ht="32" customHeight="1">
      <c r="A35" s="39" t="n"/>
      <c r="B35" s="39" t="n"/>
      <c r="C35" s="39" t="n"/>
      <c r="D35" s="40" t="n"/>
      <c r="E35" s="40" t="n"/>
      <c r="F35" s="41" t="n"/>
      <c r="G35" s="41" t="n"/>
      <c r="H35" s="39" t="n"/>
      <c r="I35" s="42" t="n"/>
      <c r="J35" s="39" t="n"/>
    </row>
    <row r="36" ht="32" customHeight="1">
      <c r="A36" s="39" t="n"/>
      <c r="B36" s="39" t="n"/>
      <c r="C36" s="39" t="n"/>
      <c r="D36" s="40" t="n"/>
      <c r="E36" s="40" t="n"/>
      <c r="F36" s="41" t="n"/>
      <c r="G36" s="41" t="n"/>
      <c r="H36" s="39" t="n"/>
      <c r="I36" s="42" t="n"/>
      <c r="J36" s="39" t="n"/>
    </row>
    <row r="37" ht="32" customHeight="1">
      <c r="A37" s="39" t="n"/>
      <c r="B37" s="39" t="n"/>
      <c r="C37" s="39" t="n"/>
      <c r="D37" s="40" t="n"/>
      <c r="E37" s="40" t="n"/>
      <c r="F37" s="41" t="n"/>
      <c r="G37" s="41" t="n"/>
      <c r="H37" s="39" t="n"/>
      <c r="I37" s="42" t="n"/>
      <c r="J37" s="39" t="n"/>
    </row>
    <row r="38" ht="32" customHeight="1">
      <c r="A38" s="39" t="n"/>
      <c r="B38" s="39" t="n"/>
      <c r="C38" s="39" t="n"/>
      <c r="D38" s="40" t="n"/>
      <c r="E38" s="40" t="n"/>
      <c r="F38" s="41" t="n"/>
      <c r="G38" s="41" t="n"/>
      <c r="H38" s="39" t="n"/>
      <c r="I38" s="42" t="n"/>
      <c r="J38" s="39" t="n"/>
    </row>
    <row r="39" ht="32" customHeight="1">
      <c r="A39" s="39" t="n"/>
      <c r="B39" s="39" t="n"/>
      <c r="C39" s="39" t="n"/>
      <c r="D39" s="40" t="n"/>
      <c r="E39" s="40" t="n"/>
      <c r="F39" s="41" t="n"/>
      <c r="G39" s="41" t="n"/>
      <c r="H39" s="39" t="n"/>
      <c r="I39" s="42" t="n"/>
      <c r="J39" s="39" t="n"/>
    </row>
    <row r="40" ht="32" customHeight="1">
      <c r="A40" s="39" t="n"/>
      <c r="B40" s="39" t="n"/>
      <c r="C40" s="39" t="n"/>
      <c r="D40" s="40" t="n"/>
      <c r="E40" s="40" t="n"/>
      <c r="F40" s="41" t="n"/>
      <c r="G40" s="41" t="n"/>
      <c r="H40" s="39" t="n"/>
      <c r="I40" s="42" t="n"/>
      <c r="J40" s="39" t="n"/>
    </row>
    <row r="41" ht="32" customHeight="1">
      <c r="A41" s="39" t="n"/>
      <c r="B41" s="39" t="n"/>
      <c r="C41" s="39" t="n"/>
      <c r="D41" s="40" t="n"/>
      <c r="E41" s="40" t="n"/>
      <c r="F41" s="41" t="n"/>
      <c r="G41" s="41" t="n"/>
      <c r="H41" s="39" t="n"/>
      <c r="I41" s="42" t="n"/>
      <c r="J41" s="39" t="n"/>
    </row>
    <row r="42" ht="32" customHeight="1">
      <c r="A42" s="39" t="n"/>
      <c r="B42" s="39" t="n"/>
      <c r="C42" s="39" t="n"/>
      <c r="D42" s="40" t="n"/>
      <c r="E42" s="40" t="n"/>
      <c r="F42" s="41" t="n"/>
      <c r="G42" s="41" t="n"/>
      <c r="H42" s="39" t="n"/>
      <c r="I42" s="42" t="n"/>
      <c r="J42" s="39" t="n"/>
    </row>
    <row r="43" ht="32" customHeight="1">
      <c r="A43" s="39" t="n"/>
      <c r="B43" s="39" t="n"/>
      <c r="C43" s="39" t="n"/>
      <c r="D43" s="40" t="n"/>
      <c r="E43" s="40" t="n"/>
      <c r="F43" s="41" t="n"/>
      <c r="G43" s="41" t="n"/>
      <c r="H43" s="39" t="n"/>
      <c r="I43" s="42" t="n"/>
      <c r="J43" s="39" t="n"/>
    </row>
    <row r="44" ht="32" customHeight="1">
      <c r="A44" s="39" t="n"/>
      <c r="B44" s="39" t="n"/>
      <c r="C44" s="39" t="n"/>
      <c r="D44" s="40" t="n"/>
      <c r="E44" s="40" t="n"/>
      <c r="F44" s="41" t="n"/>
      <c r="G44" s="41" t="n"/>
      <c r="H44" s="39" t="n"/>
      <c r="I44" s="42" t="n"/>
      <c r="J44" s="39" t="n"/>
    </row>
    <row r="45" ht="32" customHeight="1">
      <c r="A45" s="39" t="n"/>
      <c r="B45" s="39" t="n"/>
      <c r="C45" s="39" t="n"/>
      <c r="D45" s="40" t="n"/>
      <c r="E45" s="40" t="n"/>
      <c r="F45" s="41" t="n"/>
      <c r="G45" s="41" t="n"/>
      <c r="H45" s="39" t="n"/>
      <c r="I45" s="42" t="n"/>
      <c r="J45" s="39" t="n"/>
    </row>
    <row r="46" ht="32" customHeight="1">
      <c r="A46" s="39" t="n"/>
      <c r="B46" s="39" t="n"/>
      <c r="C46" s="39" t="n"/>
      <c r="D46" s="40" t="n"/>
      <c r="E46" s="40" t="n"/>
      <c r="F46" s="41" t="n"/>
      <c r="G46" s="41" t="n"/>
      <c r="H46" s="39" t="n"/>
      <c r="I46" s="42" t="n"/>
      <c r="J46" s="39" t="n"/>
    </row>
    <row r="47" ht="32" customHeight="1">
      <c r="A47" s="39" t="n"/>
      <c r="B47" s="39" t="n"/>
      <c r="C47" s="39" t="n"/>
      <c r="D47" s="40" t="n"/>
      <c r="E47" s="40" t="n"/>
      <c r="F47" s="41" t="n"/>
      <c r="G47" s="41" t="n"/>
      <c r="H47" s="39" t="n"/>
      <c r="I47" s="42" t="n"/>
      <c r="J47" s="39" t="n"/>
    </row>
    <row r="48" ht="32" customHeight="1">
      <c r="A48" s="39" t="n"/>
      <c r="B48" s="39" t="n"/>
      <c r="C48" s="39" t="n"/>
      <c r="D48" s="40" t="n"/>
      <c r="E48" s="40" t="n"/>
      <c r="F48" s="41" t="n"/>
      <c r="G48" s="41" t="n"/>
      <c r="H48" s="39" t="n"/>
      <c r="I48" s="42" t="n"/>
      <c r="J48" s="39" t="n"/>
    </row>
    <row r="49" ht="32" customHeight="1">
      <c r="A49" s="39" t="n"/>
      <c r="B49" s="39" t="n"/>
      <c r="C49" s="39" t="n"/>
      <c r="D49" s="40" t="n"/>
      <c r="E49" s="40" t="n"/>
      <c r="F49" s="41" t="n"/>
      <c r="G49" s="41" t="n"/>
      <c r="H49" s="39" t="n"/>
      <c r="I49" s="42" t="n"/>
      <c r="J49" s="39" t="n"/>
    </row>
    <row r="50" ht="32" customHeight="1">
      <c r="A50" s="39" t="n"/>
      <c r="B50" s="39" t="n"/>
      <c r="C50" s="39" t="n"/>
      <c r="D50" s="40" t="n"/>
      <c r="E50" s="40" t="n"/>
      <c r="F50" s="41" t="n"/>
      <c r="G50" s="41" t="n"/>
      <c r="H50" s="39" t="n"/>
      <c r="I50" s="42" t="n"/>
      <c r="J50" s="39" t="n"/>
    </row>
    <row r="51" ht="32" customHeight="1">
      <c r="A51" s="39" t="n"/>
      <c r="B51" s="39" t="n"/>
      <c r="C51" s="39" t="n"/>
      <c r="D51" s="40" t="n"/>
      <c r="E51" s="40" t="n"/>
      <c r="F51" s="41" t="n"/>
      <c r="G51" s="41" t="n"/>
      <c r="H51" s="39" t="n"/>
      <c r="I51" s="42" t="n"/>
      <c r="J51" s="39" t="n"/>
    </row>
    <row r="52" ht="32" customHeight="1">
      <c r="A52" s="39" t="n"/>
      <c r="B52" s="39" t="n"/>
      <c r="C52" s="39" t="n"/>
      <c r="D52" s="40" t="n"/>
      <c r="E52" s="40" t="n"/>
      <c r="F52" s="41" t="n"/>
      <c r="G52" s="41" t="n"/>
      <c r="H52" s="39" t="n"/>
      <c r="I52" s="42" t="n"/>
      <c r="J52" s="39" t="n"/>
    </row>
    <row r="53" ht="32" customHeight="1">
      <c r="A53" s="39" t="n"/>
      <c r="B53" s="39" t="n"/>
      <c r="C53" s="39" t="n"/>
      <c r="D53" s="40" t="n"/>
      <c r="E53" s="40" t="n"/>
      <c r="F53" s="41" t="n"/>
      <c r="G53" s="41" t="n"/>
      <c r="H53" s="39" t="n"/>
      <c r="I53" s="42" t="n"/>
      <c r="J53" s="39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47857"/>
    <outlinePr summaryBelow="1" summaryRight="1"/>
    <pageSetUpPr/>
  </sheetPr>
  <dimension ref="A1:G319"/>
  <sheetViews>
    <sheetView showGridLines="0" showRowColHeader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0" customWidth="1" min="5" max="5"/>
    <col width="14" customWidth="1" min="6" max="6"/>
    <col hidden="1" width="22" customWidth="1" min="7" max="7"/>
  </cols>
  <sheetData>
    <row r="1" ht="40" customHeight="1">
      <c r="A1" s="1">
        <f>HYPERLINK("#'Dashboard'!A1","🏠 Dashboard")</f>
        <v/>
      </c>
      <c r="B1" s="1">
        <f>HYPERLINK("#'Item Master'!A1","📦 Products")</f>
        <v/>
      </c>
      <c r="C1" s="1">
        <f>HYPERLINK("#'Log Transaction'!A1","✍️ Log Sale")</f>
        <v/>
      </c>
      <c r="D1" s="1">
        <f>HYPERLINK("#'Invoice Generator'!A1","🧾 Invoice")</f>
        <v/>
      </c>
      <c r="F1" s="1">
        <f>HYPERLINK("#'Start Here'!A1","🚀 Start Here")</f>
        <v/>
      </c>
    </row>
    <row r="2" ht="6" customHeight="1">
      <c r="A2" s="2" t="n"/>
      <c r="B2" s="2" t="n"/>
      <c r="C2" s="2" t="n"/>
      <c r="D2" s="2" t="n"/>
      <c r="E2" s="2" t="n"/>
      <c r="F2" s="2" t="n"/>
      <c r="G2" s="2" t="n"/>
    </row>
    <row r="3" ht="38" customHeight="1">
      <c r="A3" s="33" t="inlineStr">
        <is>
          <t>📅 Date</t>
        </is>
      </c>
      <c r="B3" s="33" t="inlineStr">
        <is>
          <t>🆔 ID</t>
        </is>
      </c>
      <c r="C3" s="33" t="inlineStr">
        <is>
          <t>🏷️ SKU</t>
        </is>
      </c>
      <c r="D3" s="33" t="inlineStr">
        <is>
          <t>🔄 Type</t>
        </is>
      </c>
      <c r="E3" s="33" t="inlineStr">
        <is>
          <t>🔢 Qty</t>
        </is>
      </c>
      <c r="F3" s="33" t="inlineStr">
        <is>
          <t>💵 Total</t>
        </is>
      </c>
      <c r="G3" s="33" t="inlineStr">
        <is>
          <t>Line Key</t>
        </is>
      </c>
    </row>
    <row r="4" ht="32" customHeight="1">
      <c r="A4" s="43" t="n">
        <v>46235</v>
      </c>
      <c r="B4" s="44" t="inlineStr">
        <is>
          <t>PO-2001</t>
        </is>
      </c>
      <c r="C4" s="44" t="inlineStr">
        <is>
          <t>LAV-001</t>
        </is>
      </c>
      <c r="D4" s="45" t="inlineStr">
        <is>
          <t>IN</t>
        </is>
      </c>
      <c r="E4" s="46" t="n">
        <v>100</v>
      </c>
      <c r="F4" s="47">
        <f>IF($C4="","",IF($D4="IN",$E4*_xlfn.XLOOKUP($C4,'Item Master'!$A$4:$A$53,'Item Master'!$D$4:$D$53,0),$E4*_xlfn.XLOOKUP($C4,'Item Master'!$A$4:$A$53,'Item Master'!$E$4:$E$53,0)))</f>
        <v/>
      </c>
      <c r="G4" s="48">
        <f>IF($B4="","",IF($D4="OUT",$B4&amp;"|"&amp;COUNTIFS($B$4:$B4,$B4,$D$4:$D4,"OUT"),""))</f>
        <v/>
      </c>
    </row>
    <row r="5" ht="32" customHeight="1">
      <c r="A5" s="43" t="n">
        <v>46235</v>
      </c>
      <c r="B5" s="44" t="inlineStr">
        <is>
          <t>PO-2001</t>
        </is>
      </c>
      <c r="C5" s="44" t="inlineStr">
        <is>
          <t>CER-014</t>
        </is>
      </c>
      <c r="D5" s="45" t="inlineStr">
        <is>
          <t>IN</t>
        </is>
      </c>
      <c r="E5" s="46" t="n">
        <v>150</v>
      </c>
      <c r="F5" s="47">
        <f>IF($C5="","",IF($D5="IN",$E5*_xlfn.XLOOKUP($C5,'Item Master'!$A$4:$A$53,'Item Master'!$D$4:$D$53,0),$E5*_xlfn.XLOOKUP($C5,'Item Master'!$A$4:$A$53,'Item Master'!$E$4:$E$53,0)))</f>
        <v/>
      </c>
      <c r="G5" s="48">
        <f>IF($B5="","",IF($D5="OUT",$B5&amp;"|"&amp;COUNTIFS($B$4:$B5,$B5,$D$4:$D5,"OUT"),""))</f>
        <v/>
      </c>
    </row>
    <row r="6" ht="32" customHeight="1">
      <c r="A6" s="43" t="n">
        <v>46235</v>
      </c>
      <c r="B6" s="44" t="inlineStr">
        <is>
          <t>PO-2002</t>
        </is>
      </c>
      <c r="C6" s="44" t="inlineStr">
        <is>
          <t>TOT-007</t>
        </is>
      </c>
      <c r="D6" s="45" t="inlineStr">
        <is>
          <t>IN</t>
        </is>
      </c>
      <c r="E6" s="46" t="n">
        <v>120</v>
      </c>
      <c r="F6" s="47">
        <f>IF($C6="","",IF($D6="IN",$E6*_xlfn.XLOOKUP($C6,'Item Master'!$A$4:$A$53,'Item Master'!$D$4:$D$53,0),$E6*_xlfn.XLOOKUP($C6,'Item Master'!$A$4:$A$53,'Item Master'!$E$4:$E$53,0)))</f>
        <v/>
      </c>
      <c r="G6" s="48">
        <f>IF($B6="","",IF($D6="OUT",$B6&amp;"|"&amp;COUNTIFS($B$4:$B6,$B6,$D$4:$D6,"OUT"),""))</f>
        <v/>
      </c>
    </row>
    <row r="7" ht="32" customHeight="1">
      <c r="A7" s="43" t="n">
        <v>46236</v>
      </c>
      <c r="B7" s="44" t="inlineStr">
        <is>
          <t>PO-2002</t>
        </is>
      </c>
      <c r="C7" s="44" t="inlineStr">
        <is>
          <t>JRN-002</t>
        </is>
      </c>
      <c r="D7" s="45" t="inlineStr">
        <is>
          <t>IN</t>
        </is>
      </c>
      <c r="E7" s="46" t="n">
        <v>80</v>
      </c>
      <c r="F7" s="47">
        <f>IF($C7="","",IF($D7="IN",$E7*_xlfn.XLOOKUP($C7,'Item Master'!$A$4:$A$53,'Item Master'!$D$4:$D$53,0),$E7*_xlfn.XLOOKUP($C7,'Item Master'!$A$4:$A$53,'Item Master'!$E$4:$E$53,0)))</f>
        <v/>
      </c>
      <c r="G7" s="48">
        <f>IF($B7="","",IF($D7="OUT",$B7&amp;"|"&amp;COUNTIFS($B$4:$B7,$B7,$D$4:$D7,"OUT"),""))</f>
        <v/>
      </c>
    </row>
    <row r="8" ht="32" customHeight="1">
      <c r="A8" s="43" t="n">
        <v>46236</v>
      </c>
      <c r="B8" s="44" t="inlineStr">
        <is>
          <t>PO-2003</t>
        </is>
      </c>
      <c r="C8" s="44" t="inlineStr">
        <is>
          <t>SKN-021</t>
        </is>
      </c>
      <c r="D8" s="45" t="inlineStr">
        <is>
          <t>IN</t>
        </is>
      </c>
      <c r="E8" s="46" t="n">
        <v>60</v>
      </c>
      <c r="F8" s="47">
        <f>IF($C8="","",IF($D8="IN",$E8*_xlfn.XLOOKUP($C8,'Item Master'!$A$4:$A$53,'Item Master'!$D$4:$D$53,0),$E8*_xlfn.XLOOKUP($C8,'Item Master'!$A$4:$A$53,'Item Master'!$E$4:$E$53,0)))</f>
        <v/>
      </c>
      <c r="G8" s="48">
        <f>IF($B8="","",IF($D8="OUT",$B8&amp;"|"&amp;COUNTIFS($B$4:$B8,$B8,$D$4:$D8,"OUT"),""))</f>
        <v/>
      </c>
    </row>
    <row r="9" ht="32" customHeight="1">
      <c r="A9" s="43" t="n">
        <v>46236</v>
      </c>
      <c r="B9" s="44" t="inlineStr">
        <is>
          <t>PO-2003</t>
        </is>
      </c>
      <c r="C9" s="44" t="inlineStr">
        <is>
          <t>TEA-009</t>
        </is>
      </c>
      <c r="D9" s="45" t="inlineStr">
        <is>
          <t>IN</t>
        </is>
      </c>
      <c r="E9" s="46" t="n">
        <v>70</v>
      </c>
      <c r="F9" s="47">
        <f>IF($C9="","",IF($D9="IN",$E9*_xlfn.XLOOKUP($C9,'Item Master'!$A$4:$A$53,'Item Master'!$D$4:$D$53,0),$E9*_xlfn.XLOOKUP($C9,'Item Master'!$A$4:$A$53,'Item Master'!$E$4:$E$53,0)))</f>
        <v/>
      </c>
      <c r="G9" s="48">
        <f>IF($B9="","",IF($D9="OUT",$B9&amp;"|"&amp;COUNTIFS($B$4:$B9,$B9,$D$4:$D9,"OUT"),""))</f>
        <v/>
      </c>
    </row>
    <row r="10" ht="32" customHeight="1">
      <c r="A10" s="43" t="n">
        <v>46239</v>
      </c>
      <c r="B10" s="44" t="inlineStr">
        <is>
          <t>INV-1001</t>
        </is>
      </c>
      <c r="C10" s="44" t="inlineStr">
        <is>
          <t>LAV-001</t>
        </is>
      </c>
      <c r="D10" s="45" t="inlineStr">
        <is>
          <t>OUT</t>
        </is>
      </c>
      <c r="E10" s="46" t="n">
        <v>2</v>
      </c>
      <c r="F10" s="47">
        <f>IF($C10="","",IF($D10="IN",$E10*_xlfn.XLOOKUP($C10,'Item Master'!$A$4:$A$53,'Item Master'!$D$4:$D$53,0),$E10*_xlfn.XLOOKUP($C10,'Item Master'!$A$4:$A$53,'Item Master'!$E$4:$E$53,0)))</f>
        <v/>
      </c>
      <c r="G10" s="48">
        <f>IF($B10="","",IF($D10="OUT",$B10&amp;"|"&amp;COUNTIFS($B$4:$B10,$B10,$D$4:$D10,"OUT"),""))</f>
        <v/>
      </c>
    </row>
    <row r="11" ht="32" customHeight="1">
      <c r="A11" s="43" t="n">
        <v>46239</v>
      </c>
      <c r="B11" s="44" t="inlineStr">
        <is>
          <t>INV-1001</t>
        </is>
      </c>
      <c r="C11" s="44" t="inlineStr">
        <is>
          <t>CER-014</t>
        </is>
      </c>
      <c r="D11" s="45" t="inlineStr">
        <is>
          <t>OUT</t>
        </is>
      </c>
      <c r="E11" s="46" t="n">
        <v>3</v>
      </c>
      <c r="F11" s="47">
        <f>IF($C11="","",IF($D11="IN",$E11*_xlfn.XLOOKUP($C11,'Item Master'!$A$4:$A$53,'Item Master'!$D$4:$D$53,0),$E11*_xlfn.XLOOKUP($C11,'Item Master'!$A$4:$A$53,'Item Master'!$E$4:$E$53,0)))</f>
        <v/>
      </c>
      <c r="G11" s="48">
        <f>IF($B11="","",IF($D11="OUT",$B11&amp;"|"&amp;COUNTIFS($B$4:$B11,$B11,$D$4:$D11,"OUT"),""))</f>
        <v/>
      </c>
    </row>
    <row r="12" ht="32" customHeight="1">
      <c r="A12" s="43" t="n">
        <v>46239</v>
      </c>
      <c r="B12" s="44" t="inlineStr">
        <is>
          <t>INV-1001</t>
        </is>
      </c>
      <c r="C12" s="44" t="inlineStr">
        <is>
          <t>JRN-002</t>
        </is>
      </c>
      <c r="D12" s="45" t="inlineStr">
        <is>
          <t>OUT</t>
        </is>
      </c>
      <c r="E12" s="46" t="n">
        <v>1</v>
      </c>
      <c r="F12" s="47">
        <f>IF($C12="","",IF($D12="IN",$E12*_xlfn.XLOOKUP($C12,'Item Master'!$A$4:$A$53,'Item Master'!$D$4:$D$53,0),$E12*_xlfn.XLOOKUP($C12,'Item Master'!$A$4:$A$53,'Item Master'!$E$4:$E$53,0)))</f>
        <v/>
      </c>
      <c r="G12" s="48">
        <f>IF($B12="","",IF($D12="OUT",$B12&amp;"|"&amp;COUNTIFS($B$4:$B12,$B12,$D$4:$D12,"OUT"),""))</f>
        <v/>
      </c>
    </row>
    <row r="13" ht="32" customHeight="1">
      <c r="A13" s="43" t="n">
        <v>46241</v>
      </c>
      <c r="B13" s="44" t="inlineStr">
        <is>
          <t>INV-1002</t>
        </is>
      </c>
      <c r="C13" s="44" t="inlineStr">
        <is>
          <t>TOT-007</t>
        </is>
      </c>
      <c r="D13" s="45" t="inlineStr">
        <is>
          <t>OUT</t>
        </is>
      </c>
      <c r="E13" s="46" t="n">
        <v>4</v>
      </c>
      <c r="F13" s="47">
        <f>IF($C13="","",IF($D13="IN",$E13*_xlfn.XLOOKUP($C13,'Item Master'!$A$4:$A$53,'Item Master'!$D$4:$D$53,0),$E13*_xlfn.XLOOKUP($C13,'Item Master'!$A$4:$A$53,'Item Master'!$E$4:$E$53,0)))</f>
        <v/>
      </c>
      <c r="G13" s="48">
        <f>IF($B13="","",IF($D13="OUT",$B13&amp;"|"&amp;COUNTIFS($B$4:$B13,$B13,$D$4:$D13,"OUT"),""))</f>
        <v/>
      </c>
    </row>
    <row r="14" ht="32" customHeight="1">
      <c r="A14" s="43" t="n">
        <v>46241</v>
      </c>
      <c r="B14" s="44" t="inlineStr">
        <is>
          <t>INV-1002</t>
        </is>
      </c>
      <c r="C14" s="44" t="inlineStr">
        <is>
          <t>TEA-009</t>
        </is>
      </c>
      <c r="D14" s="45" t="inlineStr">
        <is>
          <t>OUT</t>
        </is>
      </c>
      <c r="E14" s="46" t="n">
        <v>2</v>
      </c>
      <c r="F14" s="47">
        <f>IF($C14="","",IF($D14="IN",$E14*_xlfn.XLOOKUP($C14,'Item Master'!$A$4:$A$53,'Item Master'!$D$4:$D$53,0),$E14*_xlfn.XLOOKUP($C14,'Item Master'!$A$4:$A$53,'Item Master'!$E$4:$E$53,0)))</f>
        <v/>
      </c>
      <c r="G14" s="48">
        <f>IF($B14="","",IF($D14="OUT",$B14&amp;"|"&amp;COUNTIFS($B$4:$B14,$B14,$D$4:$D14,"OUT"),""))</f>
        <v/>
      </c>
    </row>
    <row r="15" ht="32" customHeight="1">
      <c r="A15" s="43" t="n">
        <v>46243</v>
      </c>
      <c r="B15" s="44" t="inlineStr">
        <is>
          <t>INV-1003</t>
        </is>
      </c>
      <c r="C15" s="44" t="inlineStr">
        <is>
          <t>SKN-021</t>
        </is>
      </c>
      <c r="D15" s="45" t="inlineStr">
        <is>
          <t>OUT</t>
        </is>
      </c>
      <c r="E15" s="46" t="n">
        <v>55</v>
      </c>
      <c r="F15" s="47">
        <f>IF($C15="","",IF($D15="IN",$E15*_xlfn.XLOOKUP($C15,'Item Master'!$A$4:$A$53,'Item Master'!$D$4:$D$53,0),$E15*_xlfn.XLOOKUP($C15,'Item Master'!$A$4:$A$53,'Item Master'!$E$4:$E$53,0)))</f>
        <v/>
      </c>
      <c r="G15" s="48">
        <f>IF($B15="","",IF($D15="OUT",$B15&amp;"|"&amp;COUNTIFS($B$4:$B15,$B15,$D$4:$D15,"OUT"),""))</f>
        <v/>
      </c>
    </row>
    <row r="16" ht="32" customHeight="1">
      <c r="A16" s="43" t="n">
        <v>46244</v>
      </c>
      <c r="B16" s="44" t="inlineStr">
        <is>
          <t>INV-1004</t>
        </is>
      </c>
      <c r="C16" s="44" t="inlineStr">
        <is>
          <t>LAV-001</t>
        </is>
      </c>
      <c r="D16" s="45" t="inlineStr">
        <is>
          <t>OUT</t>
        </is>
      </c>
      <c r="E16" s="46" t="n">
        <v>88</v>
      </c>
      <c r="F16" s="47">
        <f>IF($C16="","",IF($D16="IN",$E16*_xlfn.XLOOKUP($C16,'Item Master'!$A$4:$A$53,'Item Master'!$D$4:$D$53,0),$E16*_xlfn.XLOOKUP($C16,'Item Master'!$A$4:$A$53,'Item Master'!$E$4:$E$53,0)))</f>
        <v/>
      </c>
      <c r="G16" s="48">
        <f>IF($B16="","",IF($D16="OUT",$B16&amp;"|"&amp;COUNTIFS($B$4:$B16,$B16,$D$4:$D16,"OUT"),""))</f>
        <v/>
      </c>
    </row>
    <row r="17" ht="32" customHeight="1">
      <c r="A17" s="43" t="n">
        <v>46245</v>
      </c>
      <c r="B17" s="44" t="inlineStr">
        <is>
          <t>ADJ-3001</t>
        </is>
      </c>
      <c r="C17" s="44" t="inlineStr">
        <is>
          <t>TEA-009</t>
        </is>
      </c>
      <c r="D17" s="45" t="inlineStr">
        <is>
          <t>SHRINKAGE</t>
        </is>
      </c>
      <c r="E17" s="46" t="n">
        <v>3</v>
      </c>
      <c r="F17" s="47">
        <f>IF($C17="","",IF($D17="IN",$E17*_xlfn.XLOOKUP($C17,'Item Master'!$A$4:$A$53,'Item Master'!$D$4:$D$53,0),$E17*_xlfn.XLOOKUP($C17,'Item Master'!$A$4:$A$53,'Item Master'!$E$4:$E$53,0)))</f>
        <v/>
      </c>
      <c r="G17" s="48">
        <f>IF($B17="","",IF($D17="OUT",$B17&amp;"|"&amp;COUNTIFS($B$4:$B17,$B17,$D$4:$D17,"OUT"),""))</f>
        <v/>
      </c>
    </row>
    <row r="18" ht="32" customHeight="1">
      <c r="A18" s="43" t="n">
        <v>46246</v>
      </c>
      <c r="B18" s="44" t="inlineStr">
        <is>
          <t>INV-1005</t>
        </is>
      </c>
      <c r="C18" s="44" t="inlineStr">
        <is>
          <t>CER-014</t>
        </is>
      </c>
      <c r="D18" s="45" t="inlineStr">
        <is>
          <t>OUT</t>
        </is>
      </c>
      <c r="E18" s="46" t="n">
        <v>12</v>
      </c>
      <c r="F18" s="47">
        <f>IF($C18="","",IF($D18="IN",$E18*_xlfn.XLOOKUP($C18,'Item Master'!$A$4:$A$53,'Item Master'!$D$4:$D$53,0),$E18*_xlfn.XLOOKUP($C18,'Item Master'!$A$4:$A$53,'Item Master'!$E$4:$E$53,0)))</f>
        <v/>
      </c>
      <c r="G18" s="48">
        <f>IF($B18="","",IF($D18="OUT",$B18&amp;"|"&amp;COUNTIFS($B$4:$B18,$B18,$D$4:$D18,"OUT"),""))</f>
        <v/>
      </c>
    </row>
    <row r="19" ht="32" customHeight="1">
      <c r="A19" s="43" t="n"/>
      <c r="B19" s="44" t="n"/>
      <c r="C19" s="44" t="n"/>
      <c r="D19" s="45" t="n"/>
      <c r="E19" s="46" t="n"/>
      <c r="F19" s="47">
        <f>IF($C19="","",IF($D19="IN",$E19*_xlfn.XLOOKUP($C19,'Item Master'!$A$4:$A$53,'Item Master'!$D$4:$D$53,0),$E19*_xlfn.XLOOKUP($C19,'Item Master'!$A$4:$A$53,'Item Master'!$E$4:$E$53,0)))</f>
        <v/>
      </c>
      <c r="G19" s="48">
        <f>IF($B19="","",IF($D19="OUT",$B19&amp;"|"&amp;COUNTIFS($B$4:$B19,$B19,$D$4:$D19,"OUT"),""))</f>
        <v/>
      </c>
    </row>
    <row r="20" ht="32" customHeight="1">
      <c r="A20" s="43" t="n"/>
      <c r="B20" s="44" t="n"/>
      <c r="C20" s="44" t="n"/>
      <c r="D20" s="45" t="n"/>
      <c r="E20" s="46" t="n"/>
      <c r="F20" s="47">
        <f>IF($C20="","",IF($D20="IN",$E20*_xlfn.XLOOKUP($C20,'Item Master'!$A$4:$A$53,'Item Master'!$D$4:$D$53,0),$E20*_xlfn.XLOOKUP($C20,'Item Master'!$A$4:$A$53,'Item Master'!$E$4:$E$53,0)))</f>
        <v/>
      </c>
      <c r="G20" s="48">
        <f>IF($B20="","",IF($D20="OUT",$B20&amp;"|"&amp;COUNTIFS($B$4:$B20,$B20,$D$4:$D20,"OUT"),""))</f>
        <v/>
      </c>
    </row>
    <row r="21" ht="32" customHeight="1">
      <c r="A21" s="43" t="n"/>
      <c r="B21" s="44" t="n"/>
      <c r="C21" s="44" t="n"/>
      <c r="D21" s="45" t="n"/>
      <c r="E21" s="46" t="n"/>
      <c r="F21" s="47">
        <f>IF($C21="","",IF($D21="IN",$E21*_xlfn.XLOOKUP($C21,'Item Master'!$A$4:$A$53,'Item Master'!$D$4:$D$53,0),$E21*_xlfn.XLOOKUP($C21,'Item Master'!$A$4:$A$53,'Item Master'!$E$4:$E$53,0)))</f>
        <v/>
      </c>
      <c r="G21" s="48">
        <f>IF($B21="","",IF($D21="OUT",$B21&amp;"|"&amp;COUNTIFS($B$4:$B21,$B21,$D$4:$D21,"OUT"),""))</f>
        <v/>
      </c>
    </row>
    <row r="22" ht="32" customHeight="1">
      <c r="A22" s="43" t="n"/>
      <c r="B22" s="44" t="n"/>
      <c r="C22" s="44" t="n"/>
      <c r="D22" s="45" t="n"/>
      <c r="E22" s="46" t="n"/>
      <c r="F22" s="47">
        <f>IF($C22="","",IF($D22="IN",$E22*_xlfn.XLOOKUP($C22,'Item Master'!$A$4:$A$53,'Item Master'!$D$4:$D$53,0),$E22*_xlfn.XLOOKUP($C22,'Item Master'!$A$4:$A$53,'Item Master'!$E$4:$E$53,0)))</f>
        <v/>
      </c>
      <c r="G22" s="48">
        <f>IF($B22="","",IF($D22="OUT",$B22&amp;"|"&amp;COUNTIFS($B$4:$B22,$B22,$D$4:$D22,"OUT"),""))</f>
        <v/>
      </c>
    </row>
    <row r="23" ht="32" customHeight="1">
      <c r="A23" s="43" t="n"/>
      <c r="B23" s="44" t="n"/>
      <c r="C23" s="44" t="n"/>
      <c r="D23" s="45" t="n"/>
      <c r="E23" s="46" t="n"/>
      <c r="F23" s="47">
        <f>IF($C23="","",IF($D23="IN",$E23*_xlfn.XLOOKUP($C23,'Item Master'!$A$4:$A$53,'Item Master'!$D$4:$D$53,0),$E23*_xlfn.XLOOKUP($C23,'Item Master'!$A$4:$A$53,'Item Master'!$E$4:$E$53,0)))</f>
        <v/>
      </c>
      <c r="G23" s="48">
        <f>IF($B23="","",IF($D23="OUT",$B23&amp;"|"&amp;COUNTIFS($B$4:$B23,$B23,$D$4:$D23,"OUT"),""))</f>
        <v/>
      </c>
    </row>
    <row r="24" ht="32" customHeight="1">
      <c r="A24" s="43" t="n"/>
      <c r="B24" s="44" t="n"/>
      <c r="C24" s="44" t="n"/>
      <c r="D24" s="45" t="n"/>
      <c r="E24" s="46" t="n"/>
      <c r="F24" s="47">
        <f>IF($C24="","",IF($D24="IN",$E24*_xlfn.XLOOKUP($C24,'Item Master'!$A$4:$A$53,'Item Master'!$D$4:$D$53,0),$E24*_xlfn.XLOOKUP($C24,'Item Master'!$A$4:$A$53,'Item Master'!$E$4:$E$53,0)))</f>
        <v/>
      </c>
      <c r="G24" s="48">
        <f>IF($B24="","",IF($D24="OUT",$B24&amp;"|"&amp;COUNTIFS($B$4:$B24,$B24,$D$4:$D24,"OUT"),""))</f>
        <v/>
      </c>
    </row>
    <row r="25" ht="32" customHeight="1">
      <c r="A25" s="43" t="n"/>
      <c r="B25" s="44" t="n"/>
      <c r="C25" s="44" t="n"/>
      <c r="D25" s="45" t="n"/>
      <c r="E25" s="46" t="n"/>
      <c r="F25" s="47">
        <f>IF($C25="","",IF($D25="IN",$E25*_xlfn.XLOOKUP($C25,'Item Master'!$A$4:$A$53,'Item Master'!$D$4:$D$53,0),$E25*_xlfn.XLOOKUP($C25,'Item Master'!$A$4:$A$53,'Item Master'!$E$4:$E$53,0)))</f>
        <v/>
      </c>
      <c r="G25" s="48">
        <f>IF($B25="","",IF($D25="OUT",$B25&amp;"|"&amp;COUNTIFS($B$4:$B25,$B25,$D$4:$D25,"OUT"),""))</f>
        <v/>
      </c>
    </row>
    <row r="26" ht="32" customHeight="1">
      <c r="A26" s="43" t="n"/>
      <c r="B26" s="44" t="n"/>
      <c r="C26" s="44" t="n"/>
      <c r="D26" s="45" t="n"/>
      <c r="E26" s="46" t="n"/>
      <c r="F26" s="47">
        <f>IF($C26="","",IF($D26="IN",$E26*_xlfn.XLOOKUP($C26,'Item Master'!$A$4:$A$53,'Item Master'!$D$4:$D$53,0),$E26*_xlfn.XLOOKUP($C26,'Item Master'!$A$4:$A$53,'Item Master'!$E$4:$E$53,0)))</f>
        <v/>
      </c>
      <c r="G26" s="48">
        <f>IF($B26="","",IF($D26="OUT",$B26&amp;"|"&amp;COUNTIFS($B$4:$B26,$B26,$D$4:$D26,"OUT"),""))</f>
        <v/>
      </c>
    </row>
    <row r="27" ht="32" customHeight="1">
      <c r="A27" s="43" t="n"/>
      <c r="B27" s="44" t="n"/>
      <c r="C27" s="44" t="n"/>
      <c r="D27" s="45" t="n"/>
      <c r="E27" s="46" t="n"/>
      <c r="F27" s="47">
        <f>IF($C27="","",IF($D27="IN",$E27*_xlfn.XLOOKUP($C27,'Item Master'!$A$4:$A$53,'Item Master'!$D$4:$D$53,0),$E27*_xlfn.XLOOKUP($C27,'Item Master'!$A$4:$A$53,'Item Master'!$E$4:$E$53,0)))</f>
        <v/>
      </c>
      <c r="G27" s="48">
        <f>IF($B27="","",IF($D27="OUT",$B27&amp;"|"&amp;COUNTIFS($B$4:$B27,$B27,$D$4:$D27,"OUT"),""))</f>
        <v/>
      </c>
    </row>
    <row r="28" ht="32" customHeight="1">
      <c r="A28" s="43" t="n"/>
      <c r="B28" s="44" t="n"/>
      <c r="C28" s="44" t="n"/>
      <c r="D28" s="45" t="n"/>
      <c r="E28" s="46" t="n"/>
      <c r="F28" s="47">
        <f>IF($C28="","",IF($D28="IN",$E28*_xlfn.XLOOKUP($C28,'Item Master'!$A$4:$A$53,'Item Master'!$D$4:$D$53,0),$E28*_xlfn.XLOOKUP($C28,'Item Master'!$A$4:$A$53,'Item Master'!$E$4:$E$53,0)))</f>
        <v/>
      </c>
      <c r="G28" s="48">
        <f>IF($B28="","",IF($D28="OUT",$B28&amp;"|"&amp;COUNTIFS($B$4:$B28,$B28,$D$4:$D28,"OUT"),""))</f>
        <v/>
      </c>
    </row>
    <row r="29" ht="32" customHeight="1">
      <c r="A29" s="43" t="n"/>
      <c r="B29" s="44" t="n"/>
      <c r="C29" s="44" t="n"/>
      <c r="D29" s="45" t="n"/>
      <c r="E29" s="46" t="n"/>
      <c r="F29" s="47">
        <f>IF($C29="","",IF($D29="IN",$E29*_xlfn.XLOOKUP($C29,'Item Master'!$A$4:$A$53,'Item Master'!$D$4:$D$53,0),$E29*_xlfn.XLOOKUP($C29,'Item Master'!$A$4:$A$53,'Item Master'!$E$4:$E$53,0)))</f>
        <v/>
      </c>
      <c r="G29" s="48">
        <f>IF($B29="","",IF($D29="OUT",$B29&amp;"|"&amp;COUNTIFS($B$4:$B29,$B29,$D$4:$D29,"OUT"),""))</f>
        <v/>
      </c>
    </row>
    <row r="30" ht="32" customHeight="1">
      <c r="A30" s="43" t="n"/>
      <c r="B30" s="44" t="n"/>
      <c r="C30" s="44" t="n"/>
      <c r="D30" s="45" t="n"/>
      <c r="E30" s="46" t="n"/>
      <c r="F30" s="47">
        <f>IF($C30="","",IF($D30="IN",$E30*_xlfn.XLOOKUP($C30,'Item Master'!$A$4:$A$53,'Item Master'!$D$4:$D$53,0),$E30*_xlfn.XLOOKUP($C30,'Item Master'!$A$4:$A$53,'Item Master'!$E$4:$E$53,0)))</f>
        <v/>
      </c>
      <c r="G30" s="48">
        <f>IF($B30="","",IF($D30="OUT",$B30&amp;"|"&amp;COUNTIFS($B$4:$B30,$B30,$D$4:$D30,"OUT"),""))</f>
        <v/>
      </c>
    </row>
    <row r="31" ht="32" customHeight="1">
      <c r="A31" s="43" t="n"/>
      <c r="B31" s="44" t="n"/>
      <c r="C31" s="44" t="n"/>
      <c r="D31" s="45" t="n"/>
      <c r="E31" s="46" t="n"/>
      <c r="F31" s="47">
        <f>IF($C31="","",IF($D31="IN",$E31*_xlfn.XLOOKUP($C31,'Item Master'!$A$4:$A$53,'Item Master'!$D$4:$D$53,0),$E31*_xlfn.XLOOKUP($C31,'Item Master'!$A$4:$A$53,'Item Master'!$E$4:$E$53,0)))</f>
        <v/>
      </c>
      <c r="G31" s="48">
        <f>IF($B31="","",IF($D31="OUT",$B31&amp;"|"&amp;COUNTIFS($B$4:$B31,$B31,$D$4:$D31,"OUT"),""))</f>
        <v/>
      </c>
    </row>
    <row r="32" ht="32" customHeight="1">
      <c r="A32" s="43" t="n"/>
      <c r="B32" s="44" t="n"/>
      <c r="C32" s="44" t="n"/>
      <c r="D32" s="45" t="n"/>
      <c r="E32" s="46" t="n"/>
      <c r="F32" s="47">
        <f>IF($C32="","",IF($D32="IN",$E32*_xlfn.XLOOKUP($C32,'Item Master'!$A$4:$A$53,'Item Master'!$D$4:$D$53,0),$E32*_xlfn.XLOOKUP($C32,'Item Master'!$A$4:$A$53,'Item Master'!$E$4:$E$53,0)))</f>
        <v/>
      </c>
      <c r="G32" s="48">
        <f>IF($B32="","",IF($D32="OUT",$B32&amp;"|"&amp;COUNTIFS($B$4:$B32,$B32,$D$4:$D32,"OUT"),""))</f>
        <v/>
      </c>
    </row>
    <row r="33" ht="32" customHeight="1">
      <c r="A33" s="43" t="n"/>
      <c r="B33" s="44" t="n"/>
      <c r="C33" s="44" t="n"/>
      <c r="D33" s="45" t="n"/>
      <c r="E33" s="46" t="n"/>
      <c r="F33" s="47">
        <f>IF($C33="","",IF($D33="IN",$E33*_xlfn.XLOOKUP($C33,'Item Master'!$A$4:$A$53,'Item Master'!$D$4:$D$53,0),$E33*_xlfn.XLOOKUP($C33,'Item Master'!$A$4:$A$53,'Item Master'!$E$4:$E$53,0)))</f>
        <v/>
      </c>
      <c r="G33" s="48">
        <f>IF($B33="","",IF($D33="OUT",$B33&amp;"|"&amp;COUNTIFS($B$4:$B33,$B33,$D$4:$D33,"OUT"),""))</f>
        <v/>
      </c>
    </row>
    <row r="34" ht="32" customHeight="1">
      <c r="A34" s="43" t="n"/>
      <c r="B34" s="44" t="n"/>
      <c r="C34" s="44" t="n"/>
      <c r="D34" s="45" t="n"/>
      <c r="E34" s="46" t="n"/>
      <c r="F34" s="47">
        <f>IF($C34="","",IF($D34="IN",$E34*_xlfn.XLOOKUP($C34,'Item Master'!$A$4:$A$53,'Item Master'!$D$4:$D$53,0),$E34*_xlfn.XLOOKUP($C34,'Item Master'!$A$4:$A$53,'Item Master'!$E$4:$E$53,0)))</f>
        <v/>
      </c>
      <c r="G34" s="48">
        <f>IF($B34="","",IF($D34="OUT",$B34&amp;"|"&amp;COUNTIFS($B$4:$B34,$B34,$D$4:$D34,"OUT"),""))</f>
        <v/>
      </c>
    </row>
    <row r="35" ht="32" customHeight="1">
      <c r="A35" s="43" t="n"/>
      <c r="B35" s="44" t="n"/>
      <c r="C35" s="44" t="n"/>
      <c r="D35" s="45" t="n"/>
      <c r="E35" s="46" t="n"/>
      <c r="F35" s="47">
        <f>IF($C35="","",IF($D35="IN",$E35*_xlfn.XLOOKUP($C35,'Item Master'!$A$4:$A$53,'Item Master'!$D$4:$D$53,0),$E35*_xlfn.XLOOKUP($C35,'Item Master'!$A$4:$A$53,'Item Master'!$E$4:$E$53,0)))</f>
        <v/>
      </c>
      <c r="G35" s="48">
        <f>IF($B35="","",IF($D35="OUT",$B35&amp;"|"&amp;COUNTIFS($B$4:$B35,$B35,$D$4:$D35,"OUT"),""))</f>
        <v/>
      </c>
    </row>
    <row r="36" ht="32" customHeight="1">
      <c r="A36" s="43" t="n"/>
      <c r="B36" s="44" t="n"/>
      <c r="C36" s="44" t="n"/>
      <c r="D36" s="45" t="n"/>
      <c r="E36" s="46" t="n"/>
      <c r="F36" s="47">
        <f>IF($C36="","",IF($D36="IN",$E36*_xlfn.XLOOKUP($C36,'Item Master'!$A$4:$A$53,'Item Master'!$D$4:$D$53,0),$E36*_xlfn.XLOOKUP($C36,'Item Master'!$A$4:$A$53,'Item Master'!$E$4:$E$53,0)))</f>
        <v/>
      </c>
      <c r="G36" s="48">
        <f>IF($B36="","",IF($D36="OUT",$B36&amp;"|"&amp;COUNTIFS($B$4:$B36,$B36,$D$4:$D36,"OUT"),""))</f>
        <v/>
      </c>
    </row>
    <row r="37" ht="32" customHeight="1">
      <c r="A37" s="43" t="n"/>
      <c r="B37" s="44" t="n"/>
      <c r="C37" s="44" t="n"/>
      <c r="D37" s="45" t="n"/>
      <c r="E37" s="46" t="n"/>
      <c r="F37" s="47">
        <f>IF($C37="","",IF($D37="IN",$E37*_xlfn.XLOOKUP($C37,'Item Master'!$A$4:$A$53,'Item Master'!$D$4:$D$53,0),$E37*_xlfn.XLOOKUP($C37,'Item Master'!$A$4:$A$53,'Item Master'!$E$4:$E$53,0)))</f>
        <v/>
      </c>
      <c r="G37" s="48">
        <f>IF($B37="","",IF($D37="OUT",$B37&amp;"|"&amp;COUNTIFS($B$4:$B37,$B37,$D$4:$D37,"OUT"),""))</f>
        <v/>
      </c>
    </row>
    <row r="38" ht="32" customHeight="1">
      <c r="A38" s="43" t="n"/>
      <c r="B38" s="44" t="n"/>
      <c r="C38" s="44" t="n"/>
      <c r="D38" s="45" t="n"/>
      <c r="E38" s="46" t="n"/>
      <c r="F38" s="47">
        <f>IF($C38="","",IF($D38="IN",$E38*_xlfn.XLOOKUP($C38,'Item Master'!$A$4:$A$53,'Item Master'!$D$4:$D$53,0),$E38*_xlfn.XLOOKUP($C38,'Item Master'!$A$4:$A$53,'Item Master'!$E$4:$E$53,0)))</f>
        <v/>
      </c>
      <c r="G38" s="48">
        <f>IF($B38="","",IF($D38="OUT",$B38&amp;"|"&amp;COUNTIFS($B$4:$B38,$B38,$D$4:$D38,"OUT"),""))</f>
        <v/>
      </c>
    </row>
    <row r="39" ht="32" customHeight="1">
      <c r="A39" s="43" t="n"/>
      <c r="B39" s="44" t="n"/>
      <c r="C39" s="44" t="n"/>
      <c r="D39" s="45" t="n"/>
      <c r="E39" s="46" t="n"/>
      <c r="F39" s="47">
        <f>IF($C39="","",IF($D39="IN",$E39*_xlfn.XLOOKUP($C39,'Item Master'!$A$4:$A$53,'Item Master'!$D$4:$D$53,0),$E39*_xlfn.XLOOKUP($C39,'Item Master'!$A$4:$A$53,'Item Master'!$E$4:$E$53,0)))</f>
        <v/>
      </c>
      <c r="G39" s="48">
        <f>IF($B39="","",IF($D39="OUT",$B39&amp;"|"&amp;COUNTIFS($B$4:$B39,$B39,$D$4:$D39,"OUT"),""))</f>
        <v/>
      </c>
    </row>
    <row r="40" ht="32" customHeight="1">
      <c r="A40" s="43" t="n"/>
      <c r="B40" s="44" t="n"/>
      <c r="C40" s="44" t="n"/>
      <c r="D40" s="45" t="n"/>
      <c r="E40" s="46" t="n"/>
      <c r="F40" s="47">
        <f>IF($C40="","",IF($D40="IN",$E40*_xlfn.XLOOKUP($C40,'Item Master'!$A$4:$A$53,'Item Master'!$D$4:$D$53,0),$E40*_xlfn.XLOOKUP($C40,'Item Master'!$A$4:$A$53,'Item Master'!$E$4:$E$53,0)))</f>
        <v/>
      </c>
      <c r="G40" s="48">
        <f>IF($B40="","",IF($D40="OUT",$B40&amp;"|"&amp;COUNTIFS($B$4:$B40,$B40,$D$4:$D40,"OUT"),""))</f>
        <v/>
      </c>
    </row>
    <row r="41" ht="32" customHeight="1">
      <c r="A41" s="43" t="n"/>
      <c r="B41" s="44" t="n"/>
      <c r="C41" s="44" t="n"/>
      <c r="D41" s="45" t="n"/>
      <c r="E41" s="46" t="n"/>
      <c r="F41" s="47">
        <f>IF($C41="","",IF($D41="IN",$E41*_xlfn.XLOOKUP($C41,'Item Master'!$A$4:$A$53,'Item Master'!$D$4:$D$53,0),$E41*_xlfn.XLOOKUP($C41,'Item Master'!$A$4:$A$53,'Item Master'!$E$4:$E$53,0)))</f>
        <v/>
      </c>
      <c r="G41" s="48">
        <f>IF($B41="","",IF($D41="OUT",$B41&amp;"|"&amp;COUNTIFS($B$4:$B41,$B41,$D$4:$D41,"OUT"),""))</f>
        <v/>
      </c>
    </row>
    <row r="42" ht="32" customHeight="1">
      <c r="A42" s="43" t="n"/>
      <c r="B42" s="44" t="n"/>
      <c r="C42" s="44" t="n"/>
      <c r="D42" s="45" t="n"/>
      <c r="E42" s="46" t="n"/>
      <c r="F42" s="47">
        <f>IF($C42="","",IF($D42="IN",$E42*_xlfn.XLOOKUP($C42,'Item Master'!$A$4:$A$53,'Item Master'!$D$4:$D$53,0),$E42*_xlfn.XLOOKUP($C42,'Item Master'!$A$4:$A$53,'Item Master'!$E$4:$E$53,0)))</f>
        <v/>
      </c>
      <c r="G42" s="48">
        <f>IF($B42="","",IF($D42="OUT",$B42&amp;"|"&amp;COUNTIFS($B$4:$B42,$B42,$D$4:$D42,"OUT"),""))</f>
        <v/>
      </c>
    </row>
    <row r="43" ht="32" customHeight="1">
      <c r="A43" s="43" t="n"/>
      <c r="B43" s="44" t="n"/>
      <c r="C43" s="44" t="n"/>
      <c r="D43" s="45" t="n"/>
      <c r="E43" s="46" t="n"/>
      <c r="F43" s="47">
        <f>IF($C43="","",IF($D43="IN",$E43*_xlfn.XLOOKUP($C43,'Item Master'!$A$4:$A$53,'Item Master'!$D$4:$D$53,0),$E43*_xlfn.XLOOKUP($C43,'Item Master'!$A$4:$A$53,'Item Master'!$E$4:$E$53,0)))</f>
        <v/>
      </c>
      <c r="G43" s="48">
        <f>IF($B43="","",IF($D43="OUT",$B43&amp;"|"&amp;COUNTIFS($B$4:$B43,$B43,$D$4:$D43,"OUT"),""))</f>
        <v/>
      </c>
    </row>
    <row r="44" ht="32" customHeight="1">
      <c r="A44" s="43" t="n"/>
      <c r="B44" s="44" t="n"/>
      <c r="C44" s="44" t="n"/>
      <c r="D44" s="45" t="n"/>
      <c r="E44" s="46" t="n"/>
      <c r="F44" s="47">
        <f>IF($C44="","",IF($D44="IN",$E44*_xlfn.XLOOKUP($C44,'Item Master'!$A$4:$A$53,'Item Master'!$D$4:$D$53,0),$E44*_xlfn.XLOOKUP($C44,'Item Master'!$A$4:$A$53,'Item Master'!$E$4:$E$53,0)))</f>
        <v/>
      </c>
      <c r="G44" s="48">
        <f>IF($B44="","",IF($D44="OUT",$B44&amp;"|"&amp;COUNTIFS($B$4:$B44,$B44,$D$4:$D44,"OUT"),""))</f>
        <v/>
      </c>
    </row>
    <row r="45" ht="32" customHeight="1">
      <c r="A45" s="43" t="n"/>
      <c r="B45" s="44" t="n"/>
      <c r="C45" s="44" t="n"/>
      <c r="D45" s="45" t="n"/>
      <c r="E45" s="46" t="n"/>
      <c r="F45" s="47">
        <f>IF($C45="","",IF($D45="IN",$E45*_xlfn.XLOOKUP($C45,'Item Master'!$A$4:$A$53,'Item Master'!$D$4:$D$53,0),$E45*_xlfn.XLOOKUP($C45,'Item Master'!$A$4:$A$53,'Item Master'!$E$4:$E$53,0)))</f>
        <v/>
      </c>
      <c r="G45" s="48">
        <f>IF($B45="","",IF($D45="OUT",$B45&amp;"|"&amp;COUNTIFS($B$4:$B45,$B45,$D$4:$D45,"OUT"),""))</f>
        <v/>
      </c>
    </row>
    <row r="46" ht="32" customHeight="1">
      <c r="A46" s="43" t="n"/>
      <c r="B46" s="44" t="n"/>
      <c r="C46" s="44" t="n"/>
      <c r="D46" s="45" t="n"/>
      <c r="E46" s="46" t="n"/>
      <c r="F46" s="47">
        <f>IF($C46="","",IF($D46="IN",$E46*_xlfn.XLOOKUP($C46,'Item Master'!$A$4:$A$53,'Item Master'!$D$4:$D$53,0),$E46*_xlfn.XLOOKUP($C46,'Item Master'!$A$4:$A$53,'Item Master'!$E$4:$E$53,0)))</f>
        <v/>
      </c>
      <c r="G46" s="48">
        <f>IF($B46="","",IF($D46="OUT",$B46&amp;"|"&amp;COUNTIFS($B$4:$B46,$B46,$D$4:$D46,"OUT"),""))</f>
        <v/>
      </c>
    </row>
    <row r="47" ht="32" customHeight="1">
      <c r="A47" s="43" t="n"/>
      <c r="B47" s="44" t="n"/>
      <c r="C47" s="44" t="n"/>
      <c r="D47" s="45" t="n"/>
      <c r="E47" s="46" t="n"/>
      <c r="F47" s="47">
        <f>IF($C47="","",IF($D47="IN",$E47*_xlfn.XLOOKUP($C47,'Item Master'!$A$4:$A$53,'Item Master'!$D$4:$D$53,0),$E47*_xlfn.XLOOKUP($C47,'Item Master'!$A$4:$A$53,'Item Master'!$E$4:$E$53,0)))</f>
        <v/>
      </c>
      <c r="G47" s="48">
        <f>IF($B47="","",IF($D47="OUT",$B47&amp;"|"&amp;COUNTIFS($B$4:$B47,$B47,$D$4:$D47,"OUT"),""))</f>
        <v/>
      </c>
    </row>
    <row r="48" ht="32" customHeight="1">
      <c r="A48" s="43" t="n"/>
      <c r="B48" s="44" t="n"/>
      <c r="C48" s="44" t="n"/>
      <c r="D48" s="45" t="n"/>
      <c r="E48" s="46" t="n"/>
      <c r="F48" s="47">
        <f>IF($C48="","",IF($D48="IN",$E48*_xlfn.XLOOKUP($C48,'Item Master'!$A$4:$A$53,'Item Master'!$D$4:$D$53,0),$E48*_xlfn.XLOOKUP($C48,'Item Master'!$A$4:$A$53,'Item Master'!$E$4:$E$53,0)))</f>
        <v/>
      </c>
      <c r="G48" s="48">
        <f>IF($B48="","",IF($D48="OUT",$B48&amp;"|"&amp;COUNTIFS($B$4:$B48,$B48,$D$4:$D48,"OUT"),""))</f>
        <v/>
      </c>
    </row>
    <row r="49" ht="32" customHeight="1">
      <c r="A49" s="43" t="n"/>
      <c r="B49" s="44" t="n"/>
      <c r="C49" s="44" t="n"/>
      <c r="D49" s="45" t="n"/>
      <c r="E49" s="46" t="n"/>
      <c r="F49" s="47">
        <f>IF($C49="","",IF($D49="IN",$E49*_xlfn.XLOOKUP($C49,'Item Master'!$A$4:$A$53,'Item Master'!$D$4:$D$53,0),$E49*_xlfn.XLOOKUP($C49,'Item Master'!$A$4:$A$53,'Item Master'!$E$4:$E$53,0)))</f>
        <v/>
      </c>
      <c r="G49" s="48">
        <f>IF($B49="","",IF($D49="OUT",$B49&amp;"|"&amp;COUNTIFS($B$4:$B49,$B49,$D$4:$D49,"OUT"),""))</f>
        <v/>
      </c>
    </row>
    <row r="50" ht="32" customHeight="1">
      <c r="A50" s="43" t="n"/>
      <c r="B50" s="44" t="n"/>
      <c r="C50" s="44" t="n"/>
      <c r="D50" s="45" t="n"/>
      <c r="E50" s="46" t="n"/>
      <c r="F50" s="47">
        <f>IF($C50="","",IF($D50="IN",$E50*_xlfn.XLOOKUP($C50,'Item Master'!$A$4:$A$53,'Item Master'!$D$4:$D$53,0),$E50*_xlfn.XLOOKUP($C50,'Item Master'!$A$4:$A$53,'Item Master'!$E$4:$E$53,0)))</f>
        <v/>
      </c>
      <c r="G50" s="48">
        <f>IF($B50="","",IF($D50="OUT",$B50&amp;"|"&amp;COUNTIFS($B$4:$B50,$B50,$D$4:$D50,"OUT"),""))</f>
        <v/>
      </c>
    </row>
    <row r="51" ht="32" customHeight="1">
      <c r="A51" s="43" t="n"/>
      <c r="B51" s="44" t="n"/>
      <c r="C51" s="44" t="n"/>
      <c r="D51" s="45" t="n"/>
      <c r="E51" s="46" t="n"/>
      <c r="F51" s="47">
        <f>IF($C51="","",IF($D51="IN",$E51*_xlfn.XLOOKUP($C51,'Item Master'!$A$4:$A$53,'Item Master'!$D$4:$D$53,0),$E51*_xlfn.XLOOKUP($C51,'Item Master'!$A$4:$A$53,'Item Master'!$E$4:$E$53,0)))</f>
        <v/>
      </c>
      <c r="G51" s="48">
        <f>IF($B51="","",IF($D51="OUT",$B51&amp;"|"&amp;COUNTIFS($B$4:$B51,$B51,$D$4:$D51,"OUT"),""))</f>
        <v/>
      </c>
    </row>
    <row r="52" ht="32" customHeight="1">
      <c r="A52" s="43" t="n"/>
      <c r="B52" s="44" t="n"/>
      <c r="C52" s="44" t="n"/>
      <c r="D52" s="45" t="n"/>
      <c r="E52" s="46" t="n"/>
      <c r="F52" s="47">
        <f>IF($C52="","",IF($D52="IN",$E52*_xlfn.XLOOKUP($C52,'Item Master'!$A$4:$A$53,'Item Master'!$D$4:$D$53,0),$E52*_xlfn.XLOOKUP($C52,'Item Master'!$A$4:$A$53,'Item Master'!$E$4:$E$53,0)))</f>
        <v/>
      </c>
      <c r="G52" s="48">
        <f>IF($B52="","",IF($D52="OUT",$B52&amp;"|"&amp;COUNTIFS($B$4:$B52,$B52,$D$4:$D52,"OUT"),""))</f>
        <v/>
      </c>
    </row>
    <row r="53" ht="32" customHeight="1">
      <c r="A53" s="43" t="n"/>
      <c r="B53" s="44" t="n"/>
      <c r="C53" s="44" t="n"/>
      <c r="D53" s="45" t="n"/>
      <c r="E53" s="46" t="n"/>
      <c r="F53" s="47">
        <f>IF($C53="","",IF($D53="IN",$E53*_xlfn.XLOOKUP($C53,'Item Master'!$A$4:$A$53,'Item Master'!$D$4:$D$53,0),$E53*_xlfn.XLOOKUP($C53,'Item Master'!$A$4:$A$53,'Item Master'!$E$4:$E$53,0)))</f>
        <v/>
      </c>
      <c r="G53" s="48">
        <f>IF($B53="","",IF($D53="OUT",$B53&amp;"|"&amp;COUNTIFS($B$4:$B53,$B53,$D$4:$D53,"OUT"),""))</f>
        <v/>
      </c>
    </row>
    <row r="54" ht="32" customHeight="1">
      <c r="A54" s="43" t="n"/>
      <c r="B54" s="44" t="n"/>
      <c r="C54" s="44" t="n"/>
      <c r="D54" s="45" t="n"/>
      <c r="E54" s="46" t="n"/>
      <c r="F54" s="47">
        <f>IF($C54="","",IF($D54="IN",$E54*_xlfn.XLOOKUP($C54,'Item Master'!$A$4:$A$53,'Item Master'!$D$4:$D$53,0),$E54*_xlfn.XLOOKUP($C54,'Item Master'!$A$4:$A$53,'Item Master'!$E$4:$E$53,0)))</f>
        <v/>
      </c>
      <c r="G54" s="48">
        <f>IF($B54="","",IF($D54="OUT",$B54&amp;"|"&amp;COUNTIFS($B$4:$B54,$B54,$D$4:$D54,"OUT"),""))</f>
        <v/>
      </c>
    </row>
    <row r="55" ht="32" customHeight="1">
      <c r="A55" s="43" t="n"/>
      <c r="B55" s="44" t="n"/>
      <c r="C55" s="44" t="n"/>
      <c r="D55" s="45" t="n"/>
      <c r="E55" s="46" t="n"/>
      <c r="F55" s="47">
        <f>IF($C55="","",IF($D55="IN",$E55*_xlfn.XLOOKUP($C55,'Item Master'!$A$4:$A$53,'Item Master'!$D$4:$D$53,0),$E55*_xlfn.XLOOKUP($C55,'Item Master'!$A$4:$A$53,'Item Master'!$E$4:$E$53,0)))</f>
        <v/>
      </c>
      <c r="G55" s="48">
        <f>IF($B55="","",IF($D55="OUT",$B55&amp;"|"&amp;COUNTIFS($B$4:$B55,$B55,$D$4:$D55,"OUT"),""))</f>
        <v/>
      </c>
    </row>
    <row r="56" ht="32" customHeight="1">
      <c r="A56" s="43" t="n"/>
      <c r="B56" s="44" t="n"/>
      <c r="C56" s="44" t="n"/>
      <c r="D56" s="45" t="n"/>
      <c r="E56" s="46" t="n"/>
      <c r="F56" s="47">
        <f>IF($C56="","",IF($D56="IN",$E56*_xlfn.XLOOKUP($C56,'Item Master'!$A$4:$A$53,'Item Master'!$D$4:$D$53,0),$E56*_xlfn.XLOOKUP($C56,'Item Master'!$A$4:$A$53,'Item Master'!$E$4:$E$53,0)))</f>
        <v/>
      </c>
      <c r="G56" s="48">
        <f>IF($B56="","",IF($D56="OUT",$B56&amp;"|"&amp;COUNTIFS($B$4:$B56,$B56,$D$4:$D56,"OUT"),""))</f>
        <v/>
      </c>
    </row>
    <row r="57" ht="32" customHeight="1">
      <c r="A57" s="43" t="n"/>
      <c r="B57" s="44" t="n"/>
      <c r="C57" s="44" t="n"/>
      <c r="D57" s="45" t="n"/>
      <c r="E57" s="46" t="n"/>
      <c r="F57" s="47">
        <f>IF($C57="","",IF($D57="IN",$E57*_xlfn.XLOOKUP($C57,'Item Master'!$A$4:$A$53,'Item Master'!$D$4:$D$53,0),$E57*_xlfn.XLOOKUP($C57,'Item Master'!$A$4:$A$53,'Item Master'!$E$4:$E$53,0)))</f>
        <v/>
      </c>
      <c r="G57" s="48">
        <f>IF($B57="","",IF($D57="OUT",$B57&amp;"|"&amp;COUNTIFS($B$4:$B57,$B57,$D$4:$D57,"OUT"),""))</f>
        <v/>
      </c>
    </row>
    <row r="58" ht="32" customHeight="1">
      <c r="A58" s="43" t="n"/>
      <c r="B58" s="44" t="n"/>
      <c r="C58" s="44" t="n"/>
      <c r="D58" s="45" t="n"/>
      <c r="E58" s="46" t="n"/>
      <c r="F58" s="47">
        <f>IF($C58="","",IF($D58="IN",$E58*_xlfn.XLOOKUP($C58,'Item Master'!$A$4:$A$53,'Item Master'!$D$4:$D$53,0),$E58*_xlfn.XLOOKUP($C58,'Item Master'!$A$4:$A$53,'Item Master'!$E$4:$E$53,0)))</f>
        <v/>
      </c>
      <c r="G58" s="48">
        <f>IF($B58="","",IF($D58="OUT",$B58&amp;"|"&amp;COUNTIFS($B$4:$B58,$B58,$D$4:$D58,"OUT"),""))</f>
        <v/>
      </c>
    </row>
    <row r="59" ht="32" customHeight="1">
      <c r="A59" s="43" t="n"/>
      <c r="B59" s="44" t="n"/>
      <c r="C59" s="44" t="n"/>
      <c r="D59" s="45" t="n"/>
      <c r="E59" s="46" t="n"/>
      <c r="F59" s="47">
        <f>IF($C59="","",IF($D59="IN",$E59*_xlfn.XLOOKUP($C59,'Item Master'!$A$4:$A$53,'Item Master'!$D$4:$D$53,0),$E59*_xlfn.XLOOKUP($C59,'Item Master'!$A$4:$A$53,'Item Master'!$E$4:$E$53,0)))</f>
        <v/>
      </c>
      <c r="G59" s="48">
        <f>IF($B59="","",IF($D59="OUT",$B59&amp;"|"&amp;COUNTIFS($B$4:$B59,$B59,$D$4:$D59,"OUT"),""))</f>
        <v/>
      </c>
    </row>
    <row r="60" ht="32" customHeight="1">
      <c r="A60" s="43" t="n"/>
      <c r="B60" s="44" t="n"/>
      <c r="C60" s="44" t="n"/>
      <c r="D60" s="45" t="n"/>
      <c r="E60" s="46" t="n"/>
      <c r="F60" s="47">
        <f>IF($C60="","",IF($D60="IN",$E60*_xlfn.XLOOKUP($C60,'Item Master'!$A$4:$A$53,'Item Master'!$D$4:$D$53,0),$E60*_xlfn.XLOOKUP($C60,'Item Master'!$A$4:$A$53,'Item Master'!$E$4:$E$53,0)))</f>
        <v/>
      </c>
      <c r="G60" s="48">
        <f>IF($B60="","",IF($D60="OUT",$B60&amp;"|"&amp;COUNTIFS($B$4:$B60,$B60,$D$4:$D60,"OUT"),""))</f>
        <v/>
      </c>
    </row>
    <row r="61" ht="32" customHeight="1">
      <c r="A61" s="43" t="n"/>
      <c r="B61" s="44" t="n"/>
      <c r="C61" s="44" t="n"/>
      <c r="D61" s="45" t="n"/>
      <c r="E61" s="46" t="n"/>
      <c r="F61" s="47">
        <f>IF($C61="","",IF($D61="IN",$E61*_xlfn.XLOOKUP($C61,'Item Master'!$A$4:$A$53,'Item Master'!$D$4:$D$53,0),$E61*_xlfn.XLOOKUP($C61,'Item Master'!$A$4:$A$53,'Item Master'!$E$4:$E$53,0)))</f>
        <v/>
      </c>
      <c r="G61" s="48">
        <f>IF($B61="","",IF($D61="OUT",$B61&amp;"|"&amp;COUNTIFS($B$4:$B61,$B61,$D$4:$D61,"OUT"),""))</f>
        <v/>
      </c>
    </row>
    <row r="62" ht="32" customHeight="1">
      <c r="A62" s="43" t="n"/>
      <c r="B62" s="44" t="n"/>
      <c r="C62" s="44" t="n"/>
      <c r="D62" s="45" t="n"/>
      <c r="E62" s="46" t="n"/>
      <c r="F62" s="47">
        <f>IF($C62="","",IF($D62="IN",$E62*_xlfn.XLOOKUP($C62,'Item Master'!$A$4:$A$53,'Item Master'!$D$4:$D$53,0),$E62*_xlfn.XLOOKUP($C62,'Item Master'!$A$4:$A$53,'Item Master'!$E$4:$E$53,0)))</f>
        <v/>
      </c>
      <c r="G62" s="48">
        <f>IF($B62="","",IF($D62="OUT",$B62&amp;"|"&amp;COUNTIFS($B$4:$B62,$B62,$D$4:$D62,"OUT"),""))</f>
        <v/>
      </c>
    </row>
    <row r="63" ht="32" customHeight="1">
      <c r="A63" s="43" t="n"/>
      <c r="B63" s="44" t="n"/>
      <c r="C63" s="44" t="n"/>
      <c r="D63" s="45" t="n"/>
      <c r="E63" s="46" t="n"/>
      <c r="F63" s="47">
        <f>IF($C63="","",IF($D63="IN",$E63*_xlfn.XLOOKUP($C63,'Item Master'!$A$4:$A$53,'Item Master'!$D$4:$D$53,0),$E63*_xlfn.XLOOKUP($C63,'Item Master'!$A$4:$A$53,'Item Master'!$E$4:$E$53,0)))</f>
        <v/>
      </c>
      <c r="G63" s="48">
        <f>IF($B63="","",IF($D63="OUT",$B63&amp;"|"&amp;COUNTIFS($B$4:$B63,$B63,$D$4:$D63,"OUT"),""))</f>
        <v/>
      </c>
    </row>
    <row r="64" ht="32" customHeight="1">
      <c r="A64" s="43" t="n"/>
      <c r="B64" s="44" t="n"/>
      <c r="C64" s="44" t="n"/>
      <c r="D64" s="45" t="n"/>
      <c r="E64" s="46" t="n"/>
      <c r="F64" s="47">
        <f>IF($C64="","",IF($D64="IN",$E64*_xlfn.XLOOKUP($C64,'Item Master'!$A$4:$A$53,'Item Master'!$D$4:$D$53,0),$E64*_xlfn.XLOOKUP($C64,'Item Master'!$A$4:$A$53,'Item Master'!$E$4:$E$53,0)))</f>
        <v/>
      </c>
      <c r="G64" s="48">
        <f>IF($B64="","",IF($D64="OUT",$B64&amp;"|"&amp;COUNTIFS($B$4:$B64,$B64,$D$4:$D64,"OUT"),""))</f>
        <v/>
      </c>
    </row>
    <row r="65" ht="32" customHeight="1">
      <c r="A65" s="43" t="n"/>
      <c r="B65" s="44" t="n"/>
      <c r="C65" s="44" t="n"/>
      <c r="D65" s="45" t="n"/>
      <c r="E65" s="46" t="n"/>
      <c r="F65" s="47">
        <f>IF($C65="","",IF($D65="IN",$E65*_xlfn.XLOOKUP($C65,'Item Master'!$A$4:$A$53,'Item Master'!$D$4:$D$53,0),$E65*_xlfn.XLOOKUP($C65,'Item Master'!$A$4:$A$53,'Item Master'!$E$4:$E$53,0)))</f>
        <v/>
      </c>
      <c r="G65" s="48">
        <f>IF($B65="","",IF($D65="OUT",$B65&amp;"|"&amp;COUNTIFS($B$4:$B65,$B65,$D$4:$D65,"OUT"),""))</f>
        <v/>
      </c>
    </row>
    <row r="66" ht="32" customHeight="1">
      <c r="A66" s="43" t="n"/>
      <c r="B66" s="44" t="n"/>
      <c r="C66" s="44" t="n"/>
      <c r="D66" s="45" t="n"/>
      <c r="E66" s="46" t="n"/>
      <c r="F66" s="47">
        <f>IF($C66="","",IF($D66="IN",$E66*_xlfn.XLOOKUP($C66,'Item Master'!$A$4:$A$53,'Item Master'!$D$4:$D$53,0),$E66*_xlfn.XLOOKUP($C66,'Item Master'!$A$4:$A$53,'Item Master'!$E$4:$E$53,0)))</f>
        <v/>
      </c>
      <c r="G66" s="48">
        <f>IF($B66="","",IF($D66="OUT",$B66&amp;"|"&amp;COUNTIFS($B$4:$B66,$B66,$D$4:$D66,"OUT"),""))</f>
        <v/>
      </c>
    </row>
    <row r="67" ht="32" customHeight="1">
      <c r="A67" s="43" t="n"/>
      <c r="B67" s="44" t="n"/>
      <c r="C67" s="44" t="n"/>
      <c r="D67" s="45" t="n"/>
      <c r="E67" s="46" t="n"/>
      <c r="F67" s="47">
        <f>IF($C67="","",IF($D67="IN",$E67*_xlfn.XLOOKUP($C67,'Item Master'!$A$4:$A$53,'Item Master'!$D$4:$D$53,0),$E67*_xlfn.XLOOKUP($C67,'Item Master'!$A$4:$A$53,'Item Master'!$E$4:$E$53,0)))</f>
        <v/>
      </c>
      <c r="G67" s="48">
        <f>IF($B67="","",IF($D67="OUT",$B67&amp;"|"&amp;COUNTIFS($B$4:$B67,$B67,$D$4:$D67,"OUT"),""))</f>
        <v/>
      </c>
    </row>
    <row r="68" ht="32" customHeight="1">
      <c r="A68" s="43" t="n"/>
      <c r="B68" s="44" t="n"/>
      <c r="C68" s="44" t="n"/>
      <c r="D68" s="45" t="n"/>
      <c r="E68" s="46" t="n"/>
      <c r="F68" s="47">
        <f>IF($C68="","",IF($D68="IN",$E68*_xlfn.XLOOKUP($C68,'Item Master'!$A$4:$A$53,'Item Master'!$D$4:$D$53,0),$E68*_xlfn.XLOOKUP($C68,'Item Master'!$A$4:$A$53,'Item Master'!$E$4:$E$53,0)))</f>
        <v/>
      </c>
      <c r="G68" s="48">
        <f>IF($B68="","",IF($D68="OUT",$B68&amp;"|"&amp;COUNTIFS($B$4:$B68,$B68,$D$4:$D68,"OUT"),""))</f>
        <v/>
      </c>
    </row>
    <row r="69" ht="32" customHeight="1">
      <c r="A69" s="43" t="n"/>
      <c r="B69" s="44" t="n"/>
      <c r="C69" s="44" t="n"/>
      <c r="D69" s="45" t="n"/>
      <c r="E69" s="46" t="n"/>
      <c r="F69" s="47">
        <f>IF($C69="","",IF($D69="IN",$E69*_xlfn.XLOOKUP($C69,'Item Master'!$A$4:$A$53,'Item Master'!$D$4:$D$53,0),$E69*_xlfn.XLOOKUP($C69,'Item Master'!$A$4:$A$53,'Item Master'!$E$4:$E$53,0)))</f>
        <v/>
      </c>
      <c r="G69" s="48">
        <f>IF($B69="","",IF($D69="OUT",$B69&amp;"|"&amp;COUNTIFS($B$4:$B69,$B69,$D$4:$D69,"OUT"),""))</f>
        <v/>
      </c>
    </row>
    <row r="70" ht="32" customHeight="1">
      <c r="A70" s="43" t="n"/>
      <c r="B70" s="44" t="n"/>
      <c r="C70" s="44" t="n"/>
      <c r="D70" s="45" t="n"/>
      <c r="E70" s="46" t="n"/>
      <c r="F70" s="47">
        <f>IF($C70="","",IF($D70="IN",$E70*_xlfn.XLOOKUP($C70,'Item Master'!$A$4:$A$53,'Item Master'!$D$4:$D$53,0),$E70*_xlfn.XLOOKUP($C70,'Item Master'!$A$4:$A$53,'Item Master'!$E$4:$E$53,0)))</f>
        <v/>
      </c>
      <c r="G70" s="48">
        <f>IF($B70="","",IF($D70="OUT",$B70&amp;"|"&amp;COUNTIFS($B$4:$B70,$B70,$D$4:$D70,"OUT"),""))</f>
        <v/>
      </c>
    </row>
    <row r="71" ht="32" customHeight="1">
      <c r="A71" s="43" t="n"/>
      <c r="B71" s="44" t="n"/>
      <c r="C71" s="44" t="n"/>
      <c r="D71" s="45" t="n"/>
      <c r="E71" s="46" t="n"/>
      <c r="F71" s="47">
        <f>IF($C71="","",IF($D71="IN",$E71*_xlfn.XLOOKUP($C71,'Item Master'!$A$4:$A$53,'Item Master'!$D$4:$D$53,0),$E71*_xlfn.XLOOKUP($C71,'Item Master'!$A$4:$A$53,'Item Master'!$E$4:$E$53,0)))</f>
        <v/>
      </c>
      <c r="G71" s="48">
        <f>IF($B71="","",IF($D71="OUT",$B71&amp;"|"&amp;COUNTIFS($B$4:$B71,$B71,$D$4:$D71,"OUT"),""))</f>
        <v/>
      </c>
    </row>
    <row r="72" ht="32" customHeight="1">
      <c r="A72" s="43" t="n"/>
      <c r="B72" s="44" t="n"/>
      <c r="C72" s="44" t="n"/>
      <c r="D72" s="45" t="n"/>
      <c r="E72" s="46" t="n"/>
      <c r="F72" s="47">
        <f>IF($C72="","",IF($D72="IN",$E72*_xlfn.XLOOKUP($C72,'Item Master'!$A$4:$A$53,'Item Master'!$D$4:$D$53,0),$E72*_xlfn.XLOOKUP($C72,'Item Master'!$A$4:$A$53,'Item Master'!$E$4:$E$53,0)))</f>
        <v/>
      </c>
      <c r="G72" s="48">
        <f>IF($B72="","",IF($D72="OUT",$B72&amp;"|"&amp;COUNTIFS($B$4:$B72,$B72,$D$4:$D72,"OUT"),""))</f>
        <v/>
      </c>
    </row>
    <row r="73" ht="32" customHeight="1">
      <c r="A73" s="43" t="n"/>
      <c r="B73" s="44" t="n"/>
      <c r="C73" s="44" t="n"/>
      <c r="D73" s="45" t="n"/>
      <c r="E73" s="46" t="n"/>
      <c r="F73" s="47">
        <f>IF($C73="","",IF($D73="IN",$E73*_xlfn.XLOOKUP($C73,'Item Master'!$A$4:$A$53,'Item Master'!$D$4:$D$53,0),$E73*_xlfn.XLOOKUP($C73,'Item Master'!$A$4:$A$53,'Item Master'!$E$4:$E$53,0)))</f>
        <v/>
      </c>
      <c r="G73" s="48">
        <f>IF($B73="","",IF($D73="OUT",$B73&amp;"|"&amp;COUNTIFS($B$4:$B73,$B73,$D$4:$D73,"OUT"),""))</f>
        <v/>
      </c>
    </row>
    <row r="74" ht="32" customHeight="1">
      <c r="A74" s="43" t="n"/>
      <c r="B74" s="44" t="n"/>
      <c r="C74" s="44" t="n"/>
      <c r="D74" s="45" t="n"/>
      <c r="E74" s="46" t="n"/>
      <c r="F74" s="47">
        <f>IF($C74="","",IF($D74="IN",$E74*_xlfn.XLOOKUP($C74,'Item Master'!$A$4:$A$53,'Item Master'!$D$4:$D$53,0),$E74*_xlfn.XLOOKUP($C74,'Item Master'!$A$4:$A$53,'Item Master'!$E$4:$E$53,0)))</f>
        <v/>
      </c>
      <c r="G74" s="48">
        <f>IF($B74="","",IF($D74="OUT",$B74&amp;"|"&amp;COUNTIFS($B$4:$B74,$B74,$D$4:$D74,"OUT"),""))</f>
        <v/>
      </c>
    </row>
    <row r="75" ht="32" customHeight="1">
      <c r="A75" s="43" t="n"/>
      <c r="B75" s="44" t="n"/>
      <c r="C75" s="44" t="n"/>
      <c r="D75" s="45" t="n"/>
      <c r="E75" s="46" t="n"/>
      <c r="F75" s="47">
        <f>IF($C75="","",IF($D75="IN",$E75*_xlfn.XLOOKUP($C75,'Item Master'!$A$4:$A$53,'Item Master'!$D$4:$D$53,0),$E75*_xlfn.XLOOKUP($C75,'Item Master'!$A$4:$A$53,'Item Master'!$E$4:$E$53,0)))</f>
        <v/>
      </c>
      <c r="G75" s="48">
        <f>IF($B75="","",IF($D75="OUT",$B75&amp;"|"&amp;COUNTIFS($B$4:$B75,$B75,$D$4:$D75,"OUT"),""))</f>
        <v/>
      </c>
    </row>
    <row r="76" ht="32" customHeight="1">
      <c r="A76" s="43" t="n"/>
      <c r="B76" s="44" t="n"/>
      <c r="C76" s="44" t="n"/>
      <c r="D76" s="45" t="n"/>
      <c r="E76" s="46" t="n"/>
      <c r="F76" s="47">
        <f>IF($C76="","",IF($D76="IN",$E76*_xlfn.XLOOKUP($C76,'Item Master'!$A$4:$A$53,'Item Master'!$D$4:$D$53,0),$E76*_xlfn.XLOOKUP($C76,'Item Master'!$A$4:$A$53,'Item Master'!$E$4:$E$53,0)))</f>
        <v/>
      </c>
      <c r="G76" s="48">
        <f>IF($B76="","",IF($D76="OUT",$B76&amp;"|"&amp;COUNTIFS($B$4:$B76,$B76,$D$4:$D76,"OUT"),""))</f>
        <v/>
      </c>
    </row>
    <row r="77" ht="32" customHeight="1">
      <c r="A77" s="43" t="n"/>
      <c r="B77" s="44" t="n"/>
      <c r="C77" s="44" t="n"/>
      <c r="D77" s="45" t="n"/>
      <c r="E77" s="46" t="n"/>
      <c r="F77" s="47">
        <f>IF($C77="","",IF($D77="IN",$E77*_xlfn.XLOOKUP($C77,'Item Master'!$A$4:$A$53,'Item Master'!$D$4:$D$53,0),$E77*_xlfn.XLOOKUP($C77,'Item Master'!$A$4:$A$53,'Item Master'!$E$4:$E$53,0)))</f>
        <v/>
      </c>
      <c r="G77" s="48">
        <f>IF($B77="","",IF($D77="OUT",$B77&amp;"|"&amp;COUNTIFS($B$4:$B77,$B77,$D$4:$D77,"OUT"),""))</f>
        <v/>
      </c>
    </row>
    <row r="78" ht="32" customHeight="1">
      <c r="A78" s="43" t="n"/>
      <c r="B78" s="44" t="n"/>
      <c r="C78" s="44" t="n"/>
      <c r="D78" s="45" t="n"/>
      <c r="E78" s="46" t="n"/>
      <c r="F78" s="47">
        <f>IF($C78="","",IF($D78="IN",$E78*_xlfn.XLOOKUP($C78,'Item Master'!$A$4:$A$53,'Item Master'!$D$4:$D$53,0),$E78*_xlfn.XLOOKUP($C78,'Item Master'!$A$4:$A$53,'Item Master'!$E$4:$E$53,0)))</f>
        <v/>
      </c>
      <c r="G78" s="48">
        <f>IF($B78="","",IF($D78="OUT",$B78&amp;"|"&amp;COUNTIFS($B$4:$B78,$B78,$D$4:$D78,"OUT"),""))</f>
        <v/>
      </c>
    </row>
    <row r="79" ht="32" customHeight="1">
      <c r="A79" s="43" t="n"/>
      <c r="B79" s="44" t="n"/>
      <c r="C79" s="44" t="n"/>
      <c r="D79" s="45" t="n"/>
      <c r="E79" s="46" t="n"/>
      <c r="F79" s="47">
        <f>IF($C79="","",IF($D79="IN",$E79*_xlfn.XLOOKUP($C79,'Item Master'!$A$4:$A$53,'Item Master'!$D$4:$D$53,0),$E79*_xlfn.XLOOKUP($C79,'Item Master'!$A$4:$A$53,'Item Master'!$E$4:$E$53,0)))</f>
        <v/>
      </c>
      <c r="G79" s="48">
        <f>IF($B79="","",IF($D79="OUT",$B79&amp;"|"&amp;COUNTIFS($B$4:$B79,$B79,$D$4:$D79,"OUT"),""))</f>
        <v/>
      </c>
    </row>
    <row r="80" ht="32" customHeight="1">
      <c r="A80" s="43" t="n"/>
      <c r="B80" s="44" t="n"/>
      <c r="C80" s="44" t="n"/>
      <c r="D80" s="45" t="n"/>
      <c r="E80" s="46" t="n"/>
      <c r="F80" s="47">
        <f>IF($C80="","",IF($D80="IN",$E80*_xlfn.XLOOKUP($C80,'Item Master'!$A$4:$A$53,'Item Master'!$D$4:$D$53,0),$E80*_xlfn.XLOOKUP($C80,'Item Master'!$A$4:$A$53,'Item Master'!$E$4:$E$53,0)))</f>
        <v/>
      </c>
      <c r="G80" s="48">
        <f>IF($B80="","",IF($D80="OUT",$B80&amp;"|"&amp;COUNTIFS($B$4:$B80,$B80,$D$4:$D80,"OUT"),""))</f>
        <v/>
      </c>
    </row>
    <row r="81" ht="32" customHeight="1">
      <c r="A81" s="43" t="n"/>
      <c r="B81" s="44" t="n"/>
      <c r="C81" s="44" t="n"/>
      <c r="D81" s="45" t="n"/>
      <c r="E81" s="46" t="n"/>
      <c r="F81" s="47">
        <f>IF($C81="","",IF($D81="IN",$E81*_xlfn.XLOOKUP($C81,'Item Master'!$A$4:$A$53,'Item Master'!$D$4:$D$53,0),$E81*_xlfn.XLOOKUP($C81,'Item Master'!$A$4:$A$53,'Item Master'!$E$4:$E$53,0)))</f>
        <v/>
      </c>
      <c r="G81" s="48">
        <f>IF($B81="","",IF($D81="OUT",$B81&amp;"|"&amp;COUNTIFS($B$4:$B81,$B81,$D$4:$D81,"OUT"),""))</f>
        <v/>
      </c>
    </row>
    <row r="82" ht="32" customHeight="1">
      <c r="A82" s="43" t="n"/>
      <c r="B82" s="44" t="n"/>
      <c r="C82" s="44" t="n"/>
      <c r="D82" s="45" t="n"/>
      <c r="E82" s="46" t="n"/>
      <c r="F82" s="47">
        <f>IF($C82="","",IF($D82="IN",$E82*_xlfn.XLOOKUP($C82,'Item Master'!$A$4:$A$53,'Item Master'!$D$4:$D$53,0),$E82*_xlfn.XLOOKUP($C82,'Item Master'!$A$4:$A$53,'Item Master'!$E$4:$E$53,0)))</f>
        <v/>
      </c>
      <c r="G82" s="48">
        <f>IF($B82="","",IF($D82="OUT",$B82&amp;"|"&amp;COUNTIFS($B$4:$B82,$B82,$D$4:$D82,"OUT"),""))</f>
        <v/>
      </c>
    </row>
    <row r="83" ht="32" customHeight="1">
      <c r="A83" s="43" t="n"/>
      <c r="B83" s="44" t="n"/>
      <c r="C83" s="44" t="n"/>
      <c r="D83" s="45" t="n"/>
      <c r="E83" s="46" t="n"/>
      <c r="F83" s="47">
        <f>IF($C83="","",IF($D83="IN",$E83*_xlfn.XLOOKUP($C83,'Item Master'!$A$4:$A$53,'Item Master'!$D$4:$D$53,0),$E83*_xlfn.XLOOKUP($C83,'Item Master'!$A$4:$A$53,'Item Master'!$E$4:$E$53,0)))</f>
        <v/>
      </c>
      <c r="G83" s="48">
        <f>IF($B83="","",IF($D83="OUT",$B83&amp;"|"&amp;COUNTIFS($B$4:$B83,$B83,$D$4:$D83,"OUT"),""))</f>
        <v/>
      </c>
    </row>
    <row r="84" ht="32" customHeight="1">
      <c r="A84" s="43" t="n"/>
      <c r="B84" s="44" t="n"/>
      <c r="C84" s="44" t="n"/>
      <c r="D84" s="45" t="n"/>
      <c r="E84" s="46" t="n"/>
      <c r="F84" s="47">
        <f>IF($C84="","",IF($D84="IN",$E84*_xlfn.XLOOKUP($C84,'Item Master'!$A$4:$A$53,'Item Master'!$D$4:$D$53,0),$E84*_xlfn.XLOOKUP($C84,'Item Master'!$A$4:$A$53,'Item Master'!$E$4:$E$53,0)))</f>
        <v/>
      </c>
      <c r="G84" s="48">
        <f>IF($B84="","",IF($D84="OUT",$B84&amp;"|"&amp;COUNTIFS($B$4:$B84,$B84,$D$4:$D84,"OUT"),""))</f>
        <v/>
      </c>
    </row>
    <row r="85" ht="32" customHeight="1">
      <c r="A85" s="43" t="n"/>
      <c r="B85" s="44" t="n"/>
      <c r="C85" s="44" t="n"/>
      <c r="D85" s="45" t="n"/>
      <c r="E85" s="46" t="n"/>
      <c r="F85" s="47">
        <f>IF($C85="","",IF($D85="IN",$E85*_xlfn.XLOOKUP($C85,'Item Master'!$A$4:$A$53,'Item Master'!$D$4:$D$53,0),$E85*_xlfn.XLOOKUP($C85,'Item Master'!$A$4:$A$53,'Item Master'!$E$4:$E$53,0)))</f>
        <v/>
      </c>
      <c r="G85" s="48">
        <f>IF($B85="","",IF($D85="OUT",$B85&amp;"|"&amp;COUNTIFS($B$4:$B85,$B85,$D$4:$D85,"OUT"),""))</f>
        <v/>
      </c>
    </row>
    <row r="86" ht="32" customHeight="1">
      <c r="A86" s="43" t="n"/>
      <c r="B86" s="44" t="n"/>
      <c r="C86" s="44" t="n"/>
      <c r="D86" s="45" t="n"/>
      <c r="E86" s="46" t="n"/>
      <c r="F86" s="47">
        <f>IF($C86="","",IF($D86="IN",$E86*_xlfn.XLOOKUP($C86,'Item Master'!$A$4:$A$53,'Item Master'!$D$4:$D$53,0),$E86*_xlfn.XLOOKUP($C86,'Item Master'!$A$4:$A$53,'Item Master'!$E$4:$E$53,0)))</f>
        <v/>
      </c>
      <c r="G86" s="48">
        <f>IF($B86="","",IF($D86="OUT",$B86&amp;"|"&amp;COUNTIFS($B$4:$B86,$B86,$D$4:$D86,"OUT"),""))</f>
        <v/>
      </c>
    </row>
    <row r="87" ht="32" customHeight="1">
      <c r="A87" s="43" t="n"/>
      <c r="B87" s="44" t="n"/>
      <c r="C87" s="44" t="n"/>
      <c r="D87" s="45" t="n"/>
      <c r="E87" s="46" t="n"/>
      <c r="F87" s="47">
        <f>IF($C87="","",IF($D87="IN",$E87*_xlfn.XLOOKUP($C87,'Item Master'!$A$4:$A$53,'Item Master'!$D$4:$D$53,0),$E87*_xlfn.XLOOKUP($C87,'Item Master'!$A$4:$A$53,'Item Master'!$E$4:$E$53,0)))</f>
        <v/>
      </c>
      <c r="G87" s="48">
        <f>IF($B87="","",IF($D87="OUT",$B87&amp;"|"&amp;COUNTIFS($B$4:$B87,$B87,$D$4:$D87,"OUT"),""))</f>
        <v/>
      </c>
    </row>
    <row r="88" ht="32" customHeight="1">
      <c r="A88" s="43" t="n"/>
      <c r="B88" s="44" t="n"/>
      <c r="C88" s="44" t="n"/>
      <c r="D88" s="45" t="n"/>
      <c r="E88" s="46" t="n"/>
      <c r="F88" s="47">
        <f>IF($C88="","",IF($D88="IN",$E88*_xlfn.XLOOKUP($C88,'Item Master'!$A$4:$A$53,'Item Master'!$D$4:$D$53,0),$E88*_xlfn.XLOOKUP($C88,'Item Master'!$A$4:$A$53,'Item Master'!$E$4:$E$53,0)))</f>
        <v/>
      </c>
      <c r="G88" s="48">
        <f>IF($B88="","",IF($D88="OUT",$B88&amp;"|"&amp;COUNTIFS($B$4:$B88,$B88,$D$4:$D88,"OUT"),""))</f>
        <v/>
      </c>
    </row>
    <row r="89" ht="32" customHeight="1">
      <c r="A89" s="43" t="n"/>
      <c r="B89" s="44" t="n"/>
      <c r="C89" s="44" t="n"/>
      <c r="D89" s="45" t="n"/>
      <c r="E89" s="46" t="n"/>
      <c r="F89" s="47">
        <f>IF($C89="","",IF($D89="IN",$E89*_xlfn.XLOOKUP($C89,'Item Master'!$A$4:$A$53,'Item Master'!$D$4:$D$53,0),$E89*_xlfn.XLOOKUP($C89,'Item Master'!$A$4:$A$53,'Item Master'!$E$4:$E$53,0)))</f>
        <v/>
      </c>
      <c r="G89" s="48">
        <f>IF($B89="","",IF($D89="OUT",$B89&amp;"|"&amp;COUNTIFS($B$4:$B89,$B89,$D$4:$D89,"OUT"),""))</f>
        <v/>
      </c>
    </row>
    <row r="90" ht="32" customHeight="1">
      <c r="A90" s="43" t="n"/>
      <c r="B90" s="44" t="n"/>
      <c r="C90" s="44" t="n"/>
      <c r="D90" s="45" t="n"/>
      <c r="E90" s="46" t="n"/>
      <c r="F90" s="47">
        <f>IF($C90="","",IF($D90="IN",$E90*_xlfn.XLOOKUP($C90,'Item Master'!$A$4:$A$53,'Item Master'!$D$4:$D$53,0),$E90*_xlfn.XLOOKUP($C90,'Item Master'!$A$4:$A$53,'Item Master'!$E$4:$E$53,0)))</f>
        <v/>
      </c>
      <c r="G90" s="48">
        <f>IF($B90="","",IF($D90="OUT",$B90&amp;"|"&amp;COUNTIFS($B$4:$B90,$B90,$D$4:$D90,"OUT"),""))</f>
        <v/>
      </c>
    </row>
    <row r="91" ht="32" customHeight="1">
      <c r="A91" s="43" t="n"/>
      <c r="B91" s="44" t="n"/>
      <c r="C91" s="44" t="n"/>
      <c r="D91" s="45" t="n"/>
      <c r="E91" s="46" t="n"/>
      <c r="F91" s="47">
        <f>IF($C91="","",IF($D91="IN",$E91*_xlfn.XLOOKUP($C91,'Item Master'!$A$4:$A$53,'Item Master'!$D$4:$D$53,0),$E91*_xlfn.XLOOKUP($C91,'Item Master'!$A$4:$A$53,'Item Master'!$E$4:$E$53,0)))</f>
        <v/>
      </c>
      <c r="G91" s="48">
        <f>IF($B91="","",IF($D91="OUT",$B91&amp;"|"&amp;COUNTIFS($B$4:$B91,$B91,$D$4:$D91,"OUT"),""))</f>
        <v/>
      </c>
    </row>
    <row r="92" ht="32" customHeight="1">
      <c r="A92" s="43" t="n"/>
      <c r="B92" s="44" t="n"/>
      <c r="C92" s="44" t="n"/>
      <c r="D92" s="45" t="n"/>
      <c r="E92" s="46" t="n"/>
      <c r="F92" s="47">
        <f>IF($C92="","",IF($D92="IN",$E92*_xlfn.XLOOKUP($C92,'Item Master'!$A$4:$A$53,'Item Master'!$D$4:$D$53,0),$E92*_xlfn.XLOOKUP($C92,'Item Master'!$A$4:$A$53,'Item Master'!$E$4:$E$53,0)))</f>
        <v/>
      </c>
      <c r="G92" s="48">
        <f>IF($B92="","",IF($D92="OUT",$B92&amp;"|"&amp;COUNTIFS($B$4:$B92,$B92,$D$4:$D92,"OUT"),""))</f>
        <v/>
      </c>
    </row>
    <row r="93" ht="32" customHeight="1">
      <c r="A93" s="43" t="n"/>
      <c r="B93" s="44" t="n"/>
      <c r="C93" s="44" t="n"/>
      <c r="D93" s="45" t="n"/>
      <c r="E93" s="46" t="n"/>
      <c r="F93" s="47">
        <f>IF($C93="","",IF($D93="IN",$E93*_xlfn.XLOOKUP($C93,'Item Master'!$A$4:$A$53,'Item Master'!$D$4:$D$53,0),$E93*_xlfn.XLOOKUP($C93,'Item Master'!$A$4:$A$53,'Item Master'!$E$4:$E$53,0)))</f>
        <v/>
      </c>
      <c r="G93" s="48">
        <f>IF($B93="","",IF($D93="OUT",$B93&amp;"|"&amp;COUNTIFS($B$4:$B93,$B93,$D$4:$D93,"OUT"),""))</f>
        <v/>
      </c>
    </row>
    <row r="94" ht="32" customHeight="1">
      <c r="A94" s="43" t="n"/>
      <c r="B94" s="44" t="n"/>
      <c r="C94" s="44" t="n"/>
      <c r="D94" s="45" t="n"/>
      <c r="E94" s="46" t="n"/>
      <c r="F94" s="47">
        <f>IF($C94="","",IF($D94="IN",$E94*_xlfn.XLOOKUP($C94,'Item Master'!$A$4:$A$53,'Item Master'!$D$4:$D$53,0),$E94*_xlfn.XLOOKUP($C94,'Item Master'!$A$4:$A$53,'Item Master'!$E$4:$E$53,0)))</f>
        <v/>
      </c>
      <c r="G94" s="48">
        <f>IF($B94="","",IF($D94="OUT",$B94&amp;"|"&amp;COUNTIFS($B$4:$B94,$B94,$D$4:$D94,"OUT"),""))</f>
        <v/>
      </c>
    </row>
    <row r="95" ht="32" customHeight="1">
      <c r="A95" s="43" t="n"/>
      <c r="B95" s="44" t="n"/>
      <c r="C95" s="44" t="n"/>
      <c r="D95" s="45" t="n"/>
      <c r="E95" s="46" t="n"/>
      <c r="F95" s="47">
        <f>IF($C95="","",IF($D95="IN",$E95*_xlfn.XLOOKUP($C95,'Item Master'!$A$4:$A$53,'Item Master'!$D$4:$D$53,0),$E95*_xlfn.XLOOKUP($C95,'Item Master'!$A$4:$A$53,'Item Master'!$E$4:$E$53,0)))</f>
        <v/>
      </c>
      <c r="G95" s="48">
        <f>IF($B95="","",IF($D95="OUT",$B95&amp;"|"&amp;COUNTIFS($B$4:$B95,$B95,$D$4:$D95,"OUT"),""))</f>
        <v/>
      </c>
    </row>
    <row r="96" ht="32" customHeight="1">
      <c r="A96" s="43" t="n"/>
      <c r="B96" s="44" t="n"/>
      <c r="C96" s="44" t="n"/>
      <c r="D96" s="45" t="n"/>
      <c r="E96" s="46" t="n"/>
      <c r="F96" s="47">
        <f>IF($C96="","",IF($D96="IN",$E96*_xlfn.XLOOKUP($C96,'Item Master'!$A$4:$A$53,'Item Master'!$D$4:$D$53,0),$E96*_xlfn.XLOOKUP($C96,'Item Master'!$A$4:$A$53,'Item Master'!$E$4:$E$53,0)))</f>
        <v/>
      </c>
      <c r="G96" s="48">
        <f>IF($B96="","",IF($D96="OUT",$B96&amp;"|"&amp;COUNTIFS($B$4:$B96,$B96,$D$4:$D96,"OUT"),""))</f>
        <v/>
      </c>
    </row>
    <row r="97" ht="32" customHeight="1">
      <c r="A97" s="43" t="n"/>
      <c r="B97" s="44" t="n"/>
      <c r="C97" s="44" t="n"/>
      <c r="D97" s="45" t="n"/>
      <c r="E97" s="46" t="n"/>
      <c r="F97" s="47">
        <f>IF($C97="","",IF($D97="IN",$E97*_xlfn.XLOOKUP($C97,'Item Master'!$A$4:$A$53,'Item Master'!$D$4:$D$53,0),$E97*_xlfn.XLOOKUP($C97,'Item Master'!$A$4:$A$53,'Item Master'!$E$4:$E$53,0)))</f>
        <v/>
      </c>
      <c r="G97" s="48">
        <f>IF($B97="","",IF($D97="OUT",$B97&amp;"|"&amp;COUNTIFS($B$4:$B97,$B97,$D$4:$D97,"OUT"),""))</f>
        <v/>
      </c>
    </row>
    <row r="98" ht="32" customHeight="1">
      <c r="A98" s="43" t="n"/>
      <c r="B98" s="44" t="n"/>
      <c r="C98" s="44" t="n"/>
      <c r="D98" s="45" t="n"/>
      <c r="E98" s="46" t="n"/>
      <c r="F98" s="47">
        <f>IF($C98="","",IF($D98="IN",$E98*_xlfn.XLOOKUP($C98,'Item Master'!$A$4:$A$53,'Item Master'!$D$4:$D$53,0),$E98*_xlfn.XLOOKUP($C98,'Item Master'!$A$4:$A$53,'Item Master'!$E$4:$E$53,0)))</f>
        <v/>
      </c>
      <c r="G98" s="48">
        <f>IF($B98="","",IF($D98="OUT",$B98&amp;"|"&amp;COUNTIFS($B$4:$B98,$B98,$D$4:$D98,"OUT"),""))</f>
        <v/>
      </c>
    </row>
    <row r="99" ht="32" customHeight="1">
      <c r="A99" s="43" t="n"/>
      <c r="B99" s="44" t="n"/>
      <c r="C99" s="44" t="n"/>
      <c r="D99" s="45" t="n"/>
      <c r="E99" s="46" t="n"/>
      <c r="F99" s="47">
        <f>IF($C99="","",IF($D99="IN",$E99*_xlfn.XLOOKUP($C99,'Item Master'!$A$4:$A$53,'Item Master'!$D$4:$D$53,0),$E99*_xlfn.XLOOKUP($C99,'Item Master'!$A$4:$A$53,'Item Master'!$E$4:$E$53,0)))</f>
        <v/>
      </c>
      <c r="G99" s="48">
        <f>IF($B99="","",IF($D99="OUT",$B99&amp;"|"&amp;COUNTIFS($B$4:$B99,$B99,$D$4:$D99,"OUT"),""))</f>
        <v/>
      </c>
    </row>
    <row r="100" ht="32" customHeight="1">
      <c r="A100" s="43" t="n"/>
      <c r="B100" s="44" t="n"/>
      <c r="C100" s="44" t="n"/>
      <c r="D100" s="45" t="n"/>
      <c r="E100" s="46" t="n"/>
      <c r="F100" s="47">
        <f>IF($C100="","",IF($D100="IN",$E100*_xlfn.XLOOKUP($C100,'Item Master'!$A$4:$A$53,'Item Master'!$D$4:$D$53,0),$E100*_xlfn.XLOOKUP($C100,'Item Master'!$A$4:$A$53,'Item Master'!$E$4:$E$53,0)))</f>
        <v/>
      </c>
      <c r="G100" s="48">
        <f>IF($B100="","",IF($D100="OUT",$B100&amp;"|"&amp;COUNTIFS($B$4:$B100,$B100,$D$4:$D100,"OUT"),""))</f>
        <v/>
      </c>
    </row>
    <row r="101" ht="32" customHeight="1">
      <c r="A101" s="43" t="n"/>
      <c r="B101" s="44" t="n"/>
      <c r="C101" s="44" t="n"/>
      <c r="D101" s="45" t="n"/>
      <c r="E101" s="46" t="n"/>
      <c r="F101" s="47">
        <f>IF($C101="","",IF($D101="IN",$E101*_xlfn.XLOOKUP($C101,'Item Master'!$A$4:$A$53,'Item Master'!$D$4:$D$53,0),$E101*_xlfn.XLOOKUP($C101,'Item Master'!$A$4:$A$53,'Item Master'!$E$4:$E$53,0)))</f>
        <v/>
      </c>
      <c r="G101" s="48">
        <f>IF($B101="","",IF($D101="OUT",$B101&amp;"|"&amp;COUNTIFS($B$4:$B101,$B101,$D$4:$D101,"OUT"),""))</f>
        <v/>
      </c>
    </row>
    <row r="102" ht="32" customHeight="1">
      <c r="A102" s="43" t="n"/>
      <c r="B102" s="44" t="n"/>
      <c r="C102" s="44" t="n"/>
      <c r="D102" s="45" t="n"/>
      <c r="E102" s="46" t="n"/>
      <c r="F102" s="47">
        <f>IF($C102="","",IF($D102="IN",$E102*_xlfn.XLOOKUP($C102,'Item Master'!$A$4:$A$53,'Item Master'!$D$4:$D$53,0),$E102*_xlfn.XLOOKUP($C102,'Item Master'!$A$4:$A$53,'Item Master'!$E$4:$E$53,0)))</f>
        <v/>
      </c>
      <c r="G102" s="48">
        <f>IF($B102="","",IF($D102="OUT",$B102&amp;"|"&amp;COUNTIFS($B$4:$B102,$B102,$D$4:$D102,"OUT"),""))</f>
        <v/>
      </c>
    </row>
    <row r="103" ht="32" customHeight="1">
      <c r="A103" s="43" t="n"/>
      <c r="B103" s="44" t="n"/>
      <c r="C103" s="44" t="n"/>
      <c r="D103" s="45" t="n"/>
      <c r="E103" s="46" t="n"/>
      <c r="F103" s="47">
        <f>IF($C103="","",IF($D103="IN",$E103*_xlfn.XLOOKUP($C103,'Item Master'!$A$4:$A$53,'Item Master'!$D$4:$D$53,0),$E103*_xlfn.XLOOKUP($C103,'Item Master'!$A$4:$A$53,'Item Master'!$E$4:$E$53,0)))</f>
        <v/>
      </c>
      <c r="G103" s="48">
        <f>IF($B103="","",IF($D103="OUT",$B103&amp;"|"&amp;COUNTIFS($B$4:$B103,$B103,$D$4:$D103,"OUT"),""))</f>
        <v/>
      </c>
    </row>
    <row r="104" ht="32" customHeight="1">
      <c r="A104" s="43" t="n"/>
      <c r="B104" s="44" t="n"/>
      <c r="C104" s="44" t="n"/>
      <c r="D104" s="45" t="n"/>
      <c r="E104" s="46" t="n"/>
      <c r="F104" s="47">
        <f>IF($C104="","",IF($D104="IN",$E104*_xlfn.XLOOKUP($C104,'Item Master'!$A$4:$A$53,'Item Master'!$D$4:$D$53,0),$E104*_xlfn.XLOOKUP($C104,'Item Master'!$A$4:$A$53,'Item Master'!$E$4:$E$53,0)))</f>
        <v/>
      </c>
      <c r="G104" s="48">
        <f>IF($B104="","",IF($D104="OUT",$B104&amp;"|"&amp;COUNTIFS($B$4:$B104,$B104,$D$4:$D104,"OUT"),""))</f>
        <v/>
      </c>
    </row>
    <row r="105" ht="32" customHeight="1">
      <c r="A105" s="43" t="n"/>
      <c r="B105" s="44" t="n"/>
      <c r="C105" s="44" t="n"/>
      <c r="D105" s="45" t="n"/>
      <c r="E105" s="46" t="n"/>
      <c r="F105" s="47">
        <f>IF($C105="","",IF($D105="IN",$E105*_xlfn.XLOOKUP($C105,'Item Master'!$A$4:$A$53,'Item Master'!$D$4:$D$53,0),$E105*_xlfn.XLOOKUP($C105,'Item Master'!$A$4:$A$53,'Item Master'!$E$4:$E$53,0)))</f>
        <v/>
      </c>
      <c r="G105" s="48">
        <f>IF($B105="","",IF($D105="OUT",$B105&amp;"|"&amp;COUNTIFS($B$4:$B105,$B105,$D$4:$D105,"OUT"),""))</f>
        <v/>
      </c>
    </row>
    <row r="106" ht="32" customHeight="1">
      <c r="A106" s="43" t="n"/>
      <c r="B106" s="44" t="n"/>
      <c r="C106" s="44" t="n"/>
      <c r="D106" s="45" t="n"/>
      <c r="E106" s="46" t="n"/>
      <c r="F106" s="47">
        <f>IF($C106="","",IF($D106="IN",$E106*_xlfn.XLOOKUP($C106,'Item Master'!$A$4:$A$53,'Item Master'!$D$4:$D$53,0),$E106*_xlfn.XLOOKUP($C106,'Item Master'!$A$4:$A$53,'Item Master'!$E$4:$E$53,0)))</f>
        <v/>
      </c>
      <c r="G106" s="48">
        <f>IF($B106="","",IF($D106="OUT",$B106&amp;"|"&amp;COUNTIFS($B$4:$B106,$B106,$D$4:$D106,"OUT"),""))</f>
        <v/>
      </c>
    </row>
    <row r="107" ht="32" customHeight="1">
      <c r="A107" s="43" t="n"/>
      <c r="B107" s="44" t="n"/>
      <c r="C107" s="44" t="n"/>
      <c r="D107" s="45" t="n"/>
      <c r="E107" s="46" t="n"/>
      <c r="F107" s="47">
        <f>IF($C107="","",IF($D107="IN",$E107*_xlfn.XLOOKUP($C107,'Item Master'!$A$4:$A$53,'Item Master'!$D$4:$D$53,0),$E107*_xlfn.XLOOKUP($C107,'Item Master'!$A$4:$A$53,'Item Master'!$E$4:$E$53,0)))</f>
        <v/>
      </c>
      <c r="G107" s="48">
        <f>IF($B107="","",IF($D107="OUT",$B107&amp;"|"&amp;COUNTIFS($B$4:$B107,$B107,$D$4:$D107,"OUT"),""))</f>
        <v/>
      </c>
    </row>
    <row r="108" ht="32" customHeight="1">
      <c r="A108" s="43" t="n"/>
      <c r="B108" s="44" t="n"/>
      <c r="C108" s="44" t="n"/>
      <c r="D108" s="45" t="n"/>
      <c r="E108" s="46" t="n"/>
      <c r="F108" s="47">
        <f>IF($C108="","",IF($D108="IN",$E108*_xlfn.XLOOKUP($C108,'Item Master'!$A$4:$A$53,'Item Master'!$D$4:$D$53,0),$E108*_xlfn.XLOOKUP($C108,'Item Master'!$A$4:$A$53,'Item Master'!$E$4:$E$53,0)))</f>
        <v/>
      </c>
      <c r="G108" s="48">
        <f>IF($B108="","",IF($D108="OUT",$B108&amp;"|"&amp;COUNTIFS($B$4:$B108,$B108,$D$4:$D108,"OUT"),""))</f>
        <v/>
      </c>
    </row>
    <row r="109" ht="32" customHeight="1">
      <c r="A109" s="43" t="n"/>
      <c r="B109" s="44" t="n"/>
      <c r="C109" s="44" t="n"/>
      <c r="D109" s="45" t="n"/>
      <c r="E109" s="46" t="n"/>
      <c r="F109" s="47">
        <f>IF($C109="","",IF($D109="IN",$E109*_xlfn.XLOOKUP($C109,'Item Master'!$A$4:$A$53,'Item Master'!$D$4:$D$53,0),$E109*_xlfn.XLOOKUP($C109,'Item Master'!$A$4:$A$53,'Item Master'!$E$4:$E$53,0)))</f>
        <v/>
      </c>
      <c r="G109" s="48">
        <f>IF($B109="","",IF($D109="OUT",$B109&amp;"|"&amp;COUNTIFS($B$4:$B109,$B109,$D$4:$D109,"OUT"),""))</f>
        <v/>
      </c>
    </row>
    <row r="110" ht="32" customHeight="1">
      <c r="A110" s="43" t="n"/>
      <c r="B110" s="44" t="n"/>
      <c r="C110" s="44" t="n"/>
      <c r="D110" s="45" t="n"/>
      <c r="E110" s="46" t="n"/>
      <c r="F110" s="47">
        <f>IF($C110="","",IF($D110="IN",$E110*_xlfn.XLOOKUP($C110,'Item Master'!$A$4:$A$53,'Item Master'!$D$4:$D$53,0),$E110*_xlfn.XLOOKUP($C110,'Item Master'!$A$4:$A$53,'Item Master'!$E$4:$E$53,0)))</f>
        <v/>
      </c>
      <c r="G110" s="48">
        <f>IF($B110="","",IF($D110="OUT",$B110&amp;"|"&amp;COUNTIFS($B$4:$B110,$B110,$D$4:$D110,"OUT"),""))</f>
        <v/>
      </c>
    </row>
    <row r="111" ht="32" customHeight="1">
      <c r="A111" s="43" t="n"/>
      <c r="B111" s="44" t="n"/>
      <c r="C111" s="44" t="n"/>
      <c r="D111" s="45" t="n"/>
      <c r="E111" s="46" t="n"/>
      <c r="F111" s="47">
        <f>IF($C111="","",IF($D111="IN",$E111*_xlfn.XLOOKUP($C111,'Item Master'!$A$4:$A$53,'Item Master'!$D$4:$D$53,0),$E111*_xlfn.XLOOKUP($C111,'Item Master'!$A$4:$A$53,'Item Master'!$E$4:$E$53,0)))</f>
        <v/>
      </c>
      <c r="G111" s="48">
        <f>IF($B111="","",IF($D111="OUT",$B111&amp;"|"&amp;COUNTIFS($B$4:$B111,$B111,$D$4:$D111,"OUT"),""))</f>
        <v/>
      </c>
    </row>
    <row r="112" ht="32" customHeight="1">
      <c r="A112" s="43" t="n"/>
      <c r="B112" s="44" t="n"/>
      <c r="C112" s="44" t="n"/>
      <c r="D112" s="45" t="n"/>
      <c r="E112" s="46" t="n"/>
      <c r="F112" s="47">
        <f>IF($C112="","",IF($D112="IN",$E112*_xlfn.XLOOKUP($C112,'Item Master'!$A$4:$A$53,'Item Master'!$D$4:$D$53,0),$E112*_xlfn.XLOOKUP($C112,'Item Master'!$A$4:$A$53,'Item Master'!$E$4:$E$53,0)))</f>
        <v/>
      </c>
      <c r="G112" s="48">
        <f>IF($B112="","",IF($D112="OUT",$B112&amp;"|"&amp;COUNTIFS($B$4:$B112,$B112,$D$4:$D112,"OUT"),""))</f>
        <v/>
      </c>
    </row>
    <row r="113" ht="32" customHeight="1">
      <c r="A113" s="43" t="n"/>
      <c r="B113" s="44" t="n"/>
      <c r="C113" s="44" t="n"/>
      <c r="D113" s="45" t="n"/>
      <c r="E113" s="46" t="n"/>
      <c r="F113" s="47">
        <f>IF($C113="","",IF($D113="IN",$E113*_xlfn.XLOOKUP($C113,'Item Master'!$A$4:$A$53,'Item Master'!$D$4:$D$53,0),$E113*_xlfn.XLOOKUP($C113,'Item Master'!$A$4:$A$53,'Item Master'!$E$4:$E$53,0)))</f>
        <v/>
      </c>
      <c r="G113" s="48">
        <f>IF($B113="","",IF($D113="OUT",$B113&amp;"|"&amp;COUNTIFS($B$4:$B113,$B113,$D$4:$D113,"OUT"),""))</f>
        <v/>
      </c>
    </row>
    <row r="114" ht="32" customHeight="1">
      <c r="A114" s="43" t="n"/>
      <c r="B114" s="44" t="n"/>
      <c r="C114" s="44" t="n"/>
      <c r="D114" s="45" t="n"/>
      <c r="E114" s="46" t="n"/>
      <c r="F114" s="47">
        <f>IF($C114="","",IF($D114="IN",$E114*_xlfn.XLOOKUP($C114,'Item Master'!$A$4:$A$53,'Item Master'!$D$4:$D$53,0),$E114*_xlfn.XLOOKUP($C114,'Item Master'!$A$4:$A$53,'Item Master'!$E$4:$E$53,0)))</f>
        <v/>
      </c>
      <c r="G114" s="48">
        <f>IF($B114="","",IF($D114="OUT",$B114&amp;"|"&amp;COUNTIFS($B$4:$B114,$B114,$D$4:$D114,"OUT"),""))</f>
        <v/>
      </c>
    </row>
    <row r="115" ht="32" customHeight="1">
      <c r="A115" s="43" t="n"/>
      <c r="B115" s="44" t="n"/>
      <c r="C115" s="44" t="n"/>
      <c r="D115" s="45" t="n"/>
      <c r="E115" s="46" t="n"/>
      <c r="F115" s="47">
        <f>IF($C115="","",IF($D115="IN",$E115*_xlfn.XLOOKUP($C115,'Item Master'!$A$4:$A$53,'Item Master'!$D$4:$D$53,0),$E115*_xlfn.XLOOKUP($C115,'Item Master'!$A$4:$A$53,'Item Master'!$E$4:$E$53,0)))</f>
        <v/>
      </c>
      <c r="G115" s="48">
        <f>IF($B115="","",IF($D115="OUT",$B115&amp;"|"&amp;COUNTIFS($B$4:$B115,$B115,$D$4:$D115,"OUT"),""))</f>
        <v/>
      </c>
    </row>
    <row r="116" ht="32" customHeight="1">
      <c r="A116" s="43" t="n"/>
      <c r="B116" s="44" t="n"/>
      <c r="C116" s="44" t="n"/>
      <c r="D116" s="45" t="n"/>
      <c r="E116" s="46" t="n"/>
      <c r="F116" s="47">
        <f>IF($C116="","",IF($D116="IN",$E116*_xlfn.XLOOKUP($C116,'Item Master'!$A$4:$A$53,'Item Master'!$D$4:$D$53,0),$E116*_xlfn.XLOOKUP($C116,'Item Master'!$A$4:$A$53,'Item Master'!$E$4:$E$53,0)))</f>
        <v/>
      </c>
      <c r="G116" s="48">
        <f>IF($B116="","",IF($D116="OUT",$B116&amp;"|"&amp;COUNTIFS($B$4:$B116,$B116,$D$4:$D116,"OUT"),""))</f>
        <v/>
      </c>
    </row>
    <row r="117" ht="32" customHeight="1">
      <c r="A117" s="43" t="n"/>
      <c r="B117" s="44" t="n"/>
      <c r="C117" s="44" t="n"/>
      <c r="D117" s="45" t="n"/>
      <c r="E117" s="46" t="n"/>
      <c r="F117" s="47">
        <f>IF($C117="","",IF($D117="IN",$E117*_xlfn.XLOOKUP($C117,'Item Master'!$A$4:$A$53,'Item Master'!$D$4:$D$53,0),$E117*_xlfn.XLOOKUP($C117,'Item Master'!$A$4:$A$53,'Item Master'!$E$4:$E$53,0)))</f>
        <v/>
      </c>
      <c r="G117" s="48">
        <f>IF($B117="","",IF($D117="OUT",$B117&amp;"|"&amp;COUNTIFS($B$4:$B117,$B117,$D$4:$D117,"OUT"),""))</f>
        <v/>
      </c>
    </row>
    <row r="118" ht="32" customHeight="1">
      <c r="A118" s="43" t="n"/>
      <c r="B118" s="44" t="n"/>
      <c r="C118" s="44" t="n"/>
      <c r="D118" s="45" t="n"/>
      <c r="E118" s="46" t="n"/>
      <c r="F118" s="47">
        <f>IF($C118="","",IF($D118="IN",$E118*_xlfn.XLOOKUP($C118,'Item Master'!$A$4:$A$53,'Item Master'!$D$4:$D$53,0),$E118*_xlfn.XLOOKUP($C118,'Item Master'!$A$4:$A$53,'Item Master'!$E$4:$E$53,0)))</f>
        <v/>
      </c>
      <c r="G118" s="48">
        <f>IF($B118="","",IF($D118="OUT",$B118&amp;"|"&amp;COUNTIFS($B$4:$B118,$B118,$D$4:$D118,"OUT"),""))</f>
        <v/>
      </c>
    </row>
    <row r="119" ht="32" customHeight="1">
      <c r="A119" s="43" t="n"/>
      <c r="B119" s="44" t="n"/>
      <c r="C119" s="44" t="n"/>
      <c r="D119" s="45" t="n"/>
      <c r="E119" s="46" t="n"/>
      <c r="F119" s="47">
        <f>IF($C119="","",IF($D119="IN",$E119*_xlfn.XLOOKUP($C119,'Item Master'!$A$4:$A$53,'Item Master'!$D$4:$D$53,0),$E119*_xlfn.XLOOKUP($C119,'Item Master'!$A$4:$A$53,'Item Master'!$E$4:$E$53,0)))</f>
        <v/>
      </c>
      <c r="G119" s="48">
        <f>IF($B119="","",IF($D119="OUT",$B119&amp;"|"&amp;COUNTIFS($B$4:$B119,$B119,$D$4:$D119,"OUT"),""))</f>
        <v/>
      </c>
    </row>
    <row r="120" ht="32" customHeight="1">
      <c r="A120" s="43" t="n"/>
      <c r="B120" s="44" t="n"/>
      <c r="C120" s="44" t="n"/>
      <c r="D120" s="45" t="n"/>
      <c r="E120" s="46" t="n"/>
      <c r="F120" s="47">
        <f>IF($C120="","",IF($D120="IN",$E120*_xlfn.XLOOKUP($C120,'Item Master'!$A$4:$A$53,'Item Master'!$D$4:$D$53,0),$E120*_xlfn.XLOOKUP($C120,'Item Master'!$A$4:$A$53,'Item Master'!$E$4:$E$53,0)))</f>
        <v/>
      </c>
      <c r="G120" s="48">
        <f>IF($B120="","",IF($D120="OUT",$B120&amp;"|"&amp;COUNTIFS($B$4:$B120,$B120,$D$4:$D120,"OUT"),""))</f>
        <v/>
      </c>
    </row>
    <row r="121" ht="32" customHeight="1">
      <c r="A121" s="43" t="n"/>
      <c r="B121" s="44" t="n"/>
      <c r="C121" s="44" t="n"/>
      <c r="D121" s="45" t="n"/>
      <c r="E121" s="46" t="n"/>
      <c r="F121" s="47">
        <f>IF($C121="","",IF($D121="IN",$E121*_xlfn.XLOOKUP($C121,'Item Master'!$A$4:$A$53,'Item Master'!$D$4:$D$53,0),$E121*_xlfn.XLOOKUP($C121,'Item Master'!$A$4:$A$53,'Item Master'!$E$4:$E$53,0)))</f>
        <v/>
      </c>
      <c r="G121" s="48">
        <f>IF($B121="","",IF($D121="OUT",$B121&amp;"|"&amp;COUNTIFS($B$4:$B121,$B121,$D$4:$D121,"OUT"),""))</f>
        <v/>
      </c>
    </row>
    <row r="122" ht="32" customHeight="1">
      <c r="A122" s="43" t="n"/>
      <c r="B122" s="44" t="n"/>
      <c r="C122" s="44" t="n"/>
      <c r="D122" s="45" t="n"/>
      <c r="E122" s="46" t="n"/>
      <c r="F122" s="47">
        <f>IF($C122="","",IF($D122="IN",$E122*_xlfn.XLOOKUP($C122,'Item Master'!$A$4:$A$53,'Item Master'!$D$4:$D$53,0),$E122*_xlfn.XLOOKUP($C122,'Item Master'!$A$4:$A$53,'Item Master'!$E$4:$E$53,0)))</f>
        <v/>
      </c>
      <c r="G122" s="48">
        <f>IF($B122="","",IF($D122="OUT",$B122&amp;"|"&amp;COUNTIFS($B$4:$B122,$B122,$D$4:$D122,"OUT"),""))</f>
        <v/>
      </c>
    </row>
    <row r="123" ht="32" customHeight="1">
      <c r="A123" s="43" t="n"/>
      <c r="B123" s="44" t="n"/>
      <c r="C123" s="44" t="n"/>
      <c r="D123" s="45" t="n"/>
      <c r="E123" s="46" t="n"/>
      <c r="F123" s="47">
        <f>IF($C123="","",IF($D123="IN",$E123*_xlfn.XLOOKUP($C123,'Item Master'!$A$4:$A$53,'Item Master'!$D$4:$D$53,0),$E123*_xlfn.XLOOKUP($C123,'Item Master'!$A$4:$A$53,'Item Master'!$E$4:$E$53,0)))</f>
        <v/>
      </c>
      <c r="G123" s="48">
        <f>IF($B123="","",IF($D123="OUT",$B123&amp;"|"&amp;COUNTIFS($B$4:$B123,$B123,$D$4:$D123,"OUT"),""))</f>
        <v/>
      </c>
    </row>
    <row r="124" ht="32" customHeight="1">
      <c r="A124" s="43" t="n"/>
      <c r="B124" s="44" t="n"/>
      <c r="C124" s="44" t="n"/>
      <c r="D124" s="45" t="n"/>
      <c r="E124" s="46" t="n"/>
      <c r="F124" s="47">
        <f>IF($C124="","",IF($D124="IN",$E124*_xlfn.XLOOKUP($C124,'Item Master'!$A$4:$A$53,'Item Master'!$D$4:$D$53,0),$E124*_xlfn.XLOOKUP($C124,'Item Master'!$A$4:$A$53,'Item Master'!$E$4:$E$53,0)))</f>
        <v/>
      </c>
      <c r="G124" s="48">
        <f>IF($B124="","",IF($D124="OUT",$B124&amp;"|"&amp;COUNTIFS($B$4:$B124,$B124,$D$4:$D124,"OUT"),""))</f>
        <v/>
      </c>
    </row>
    <row r="125" ht="32" customHeight="1">
      <c r="A125" s="43" t="n"/>
      <c r="B125" s="44" t="n"/>
      <c r="C125" s="44" t="n"/>
      <c r="D125" s="45" t="n"/>
      <c r="E125" s="46" t="n"/>
      <c r="F125" s="47">
        <f>IF($C125="","",IF($D125="IN",$E125*_xlfn.XLOOKUP($C125,'Item Master'!$A$4:$A$53,'Item Master'!$D$4:$D$53,0),$E125*_xlfn.XLOOKUP($C125,'Item Master'!$A$4:$A$53,'Item Master'!$E$4:$E$53,0)))</f>
        <v/>
      </c>
      <c r="G125" s="48">
        <f>IF($B125="","",IF($D125="OUT",$B125&amp;"|"&amp;COUNTIFS($B$4:$B125,$B125,$D$4:$D125,"OUT"),""))</f>
        <v/>
      </c>
    </row>
    <row r="126" ht="32" customHeight="1">
      <c r="A126" s="43" t="n"/>
      <c r="B126" s="44" t="n"/>
      <c r="C126" s="44" t="n"/>
      <c r="D126" s="45" t="n"/>
      <c r="E126" s="46" t="n"/>
      <c r="F126" s="47">
        <f>IF($C126="","",IF($D126="IN",$E126*_xlfn.XLOOKUP($C126,'Item Master'!$A$4:$A$53,'Item Master'!$D$4:$D$53,0),$E126*_xlfn.XLOOKUP($C126,'Item Master'!$A$4:$A$53,'Item Master'!$E$4:$E$53,0)))</f>
        <v/>
      </c>
      <c r="G126" s="48">
        <f>IF($B126="","",IF($D126="OUT",$B126&amp;"|"&amp;COUNTIFS($B$4:$B126,$B126,$D$4:$D126,"OUT"),""))</f>
        <v/>
      </c>
    </row>
    <row r="127" ht="32" customHeight="1">
      <c r="A127" s="43" t="n"/>
      <c r="B127" s="44" t="n"/>
      <c r="C127" s="44" t="n"/>
      <c r="D127" s="45" t="n"/>
      <c r="E127" s="46" t="n"/>
      <c r="F127" s="47">
        <f>IF($C127="","",IF($D127="IN",$E127*_xlfn.XLOOKUP($C127,'Item Master'!$A$4:$A$53,'Item Master'!$D$4:$D$53,0),$E127*_xlfn.XLOOKUP($C127,'Item Master'!$A$4:$A$53,'Item Master'!$E$4:$E$53,0)))</f>
        <v/>
      </c>
      <c r="G127" s="48">
        <f>IF($B127="","",IF($D127="OUT",$B127&amp;"|"&amp;COUNTIFS($B$4:$B127,$B127,$D$4:$D127,"OUT"),""))</f>
        <v/>
      </c>
    </row>
    <row r="128" ht="32" customHeight="1">
      <c r="A128" s="43" t="n"/>
      <c r="B128" s="44" t="n"/>
      <c r="C128" s="44" t="n"/>
      <c r="D128" s="45" t="n"/>
      <c r="E128" s="46" t="n"/>
      <c r="F128" s="47">
        <f>IF($C128="","",IF($D128="IN",$E128*_xlfn.XLOOKUP($C128,'Item Master'!$A$4:$A$53,'Item Master'!$D$4:$D$53,0),$E128*_xlfn.XLOOKUP($C128,'Item Master'!$A$4:$A$53,'Item Master'!$E$4:$E$53,0)))</f>
        <v/>
      </c>
      <c r="G128" s="48">
        <f>IF($B128="","",IF($D128="OUT",$B128&amp;"|"&amp;COUNTIFS($B$4:$B128,$B128,$D$4:$D128,"OUT"),""))</f>
        <v/>
      </c>
    </row>
    <row r="129" ht="32" customHeight="1">
      <c r="A129" s="43" t="n"/>
      <c r="B129" s="44" t="n"/>
      <c r="C129" s="44" t="n"/>
      <c r="D129" s="45" t="n"/>
      <c r="E129" s="46" t="n"/>
      <c r="F129" s="47">
        <f>IF($C129="","",IF($D129="IN",$E129*_xlfn.XLOOKUP($C129,'Item Master'!$A$4:$A$53,'Item Master'!$D$4:$D$53,0),$E129*_xlfn.XLOOKUP($C129,'Item Master'!$A$4:$A$53,'Item Master'!$E$4:$E$53,0)))</f>
        <v/>
      </c>
      <c r="G129" s="48">
        <f>IF($B129="","",IF($D129="OUT",$B129&amp;"|"&amp;COUNTIFS($B$4:$B129,$B129,$D$4:$D129,"OUT"),""))</f>
        <v/>
      </c>
    </row>
    <row r="130" ht="32" customHeight="1">
      <c r="A130" s="43" t="n"/>
      <c r="B130" s="44" t="n"/>
      <c r="C130" s="44" t="n"/>
      <c r="D130" s="45" t="n"/>
      <c r="E130" s="46" t="n"/>
      <c r="F130" s="47">
        <f>IF($C130="","",IF($D130="IN",$E130*_xlfn.XLOOKUP($C130,'Item Master'!$A$4:$A$53,'Item Master'!$D$4:$D$53,0),$E130*_xlfn.XLOOKUP($C130,'Item Master'!$A$4:$A$53,'Item Master'!$E$4:$E$53,0)))</f>
        <v/>
      </c>
      <c r="G130" s="48">
        <f>IF($B130="","",IF($D130="OUT",$B130&amp;"|"&amp;COUNTIFS($B$4:$B130,$B130,$D$4:$D130,"OUT"),""))</f>
        <v/>
      </c>
    </row>
    <row r="131" ht="32" customHeight="1">
      <c r="A131" s="43" t="n"/>
      <c r="B131" s="44" t="n"/>
      <c r="C131" s="44" t="n"/>
      <c r="D131" s="45" t="n"/>
      <c r="E131" s="46" t="n"/>
      <c r="F131" s="47">
        <f>IF($C131="","",IF($D131="IN",$E131*_xlfn.XLOOKUP($C131,'Item Master'!$A$4:$A$53,'Item Master'!$D$4:$D$53,0),$E131*_xlfn.XLOOKUP($C131,'Item Master'!$A$4:$A$53,'Item Master'!$E$4:$E$53,0)))</f>
        <v/>
      </c>
      <c r="G131" s="48">
        <f>IF($B131="","",IF($D131="OUT",$B131&amp;"|"&amp;COUNTIFS($B$4:$B131,$B131,$D$4:$D131,"OUT"),""))</f>
        <v/>
      </c>
    </row>
    <row r="132" ht="32" customHeight="1">
      <c r="A132" s="43" t="n"/>
      <c r="B132" s="44" t="n"/>
      <c r="C132" s="44" t="n"/>
      <c r="D132" s="45" t="n"/>
      <c r="E132" s="46" t="n"/>
      <c r="F132" s="47">
        <f>IF($C132="","",IF($D132="IN",$E132*_xlfn.XLOOKUP($C132,'Item Master'!$A$4:$A$53,'Item Master'!$D$4:$D$53,0),$E132*_xlfn.XLOOKUP($C132,'Item Master'!$A$4:$A$53,'Item Master'!$E$4:$E$53,0)))</f>
        <v/>
      </c>
      <c r="G132" s="48">
        <f>IF($B132="","",IF($D132="OUT",$B132&amp;"|"&amp;COUNTIFS($B$4:$B132,$B132,$D$4:$D132,"OUT"),""))</f>
        <v/>
      </c>
    </row>
    <row r="133" ht="32" customHeight="1">
      <c r="A133" s="43" t="n"/>
      <c r="B133" s="44" t="n"/>
      <c r="C133" s="44" t="n"/>
      <c r="D133" s="45" t="n"/>
      <c r="E133" s="46" t="n"/>
      <c r="F133" s="47">
        <f>IF($C133="","",IF($D133="IN",$E133*_xlfn.XLOOKUP($C133,'Item Master'!$A$4:$A$53,'Item Master'!$D$4:$D$53,0),$E133*_xlfn.XLOOKUP($C133,'Item Master'!$A$4:$A$53,'Item Master'!$E$4:$E$53,0)))</f>
        <v/>
      </c>
      <c r="G133" s="48">
        <f>IF($B133="","",IF($D133="OUT",$B133&amp;"|"&amp;COUNTIFS($B$4:$B133,$B133,$D$4:$D133,"OUT"),""))</f>
        <v/>
      </c>
    </row>
    <row r="134" ht="32" customHeight="1">
      <c r="A134" s="43" t="n"/>
      <c r="B134" s="44" t="n"/>
      <c r="C134" s="44" t="n"/>
      <c r="D134" s="45" t="n"/>
      <c r="E134" s="46" t="n"/>
      <c r="F134" s="47">
        <f>IF($C134="","",IF($D134="IN",$E134*_xlfn.XLOOKUP($C134,'Item Master'!$A$4:$A$53,'Item Master'!$D$4:$D$53,0),$E134*_xlfn.XLOOKUP($C134,'Item Master'!$A$4:$A$53,'Item Master'!$E$4:$E$53,0)))</f>
        <v/>
      </c>
      <c r="G134" s="48">
        <f>IF($B134="","",IF($D134="OUT",$B134&amp;"|"&amp;COUNTIFS($B$4:$B134,$B134,$D$4:$D134,"OUT"),""))</f>
        <v/>
      </c>
    </row>
    <row r="135" ht="32" customHeight="1">
      <c r="A135" s="43" t="n"/>
      <c r="B135" s="44" t="n"/>
      <c r="C135" s="44" t="n"/>
      <c r="D135" s="45" t="n"/>
      <c r="E135" s="46" t="n"/>
      <c r="F135" s="47">
        <f>IF($C135="","",IF($D135="IN",$E135*_xlfn.XLOOKUP($C135,'Item Master'!$A$4:$A$53,'Item Master'!$D$4:$D$53,0),$E135*_xlfn.XLOOKUP($C135,'Item Master'!$A$4:$A$53,'Item Master'!$E$4:$E$53,0)))</f>
        <v/>
      </c>
      <c r="G135" s="48">
        <f>IF($B135="","",IF($D135="OUT",$B135&amp;"|"&amp;COUNTIFS($B$4:$B135,$B135,$D$4:$D135,"OUT"),""))</f>
        <v/>
      </c>
    </row>
    <row r="136" ht="32" customHeight="1">
      <c r="A136" s="43" t="n"/>
      <c r="B136" s="44" t="n"/>
      <c r="C136" s="44" t="n"/>
      <c r="D136" s="45" t="n"/>
      <c r="E136" s="46" t="n"/>
      <c r="F136" s="47">
        <f>IF($C136="","",IF($D136="IN",$E136*_xlfn.XLOOKUP($C136,'Item Master'!$A$4:$A$53,'Item Master'!$D$4:$D$53,0),$E136*_xlfn.XLOOKUP($C136,'Item Master'!$A$4:$A$53,'Item Master'!$E$4:$E$53,0)))</f>
        <v/>
      </c>
      <c r="G136" s="48">
        <f>IF($B136="","",IF($D136="OUT",$B136&amp;"|"&amp;COUNTIFS($B$4:$B136,$B136,$D$4:$D136,"OUT"),""))</f>
        <v/>
      </c>
    </row>
    <row r="137" ht="32" customHeight="1">
      <c r="A137" s="43" t="n"/>
      <c r="B137" s="44" t="n"/>
      <c r="C137" s="44" t="n"/>
      <c r="D137" s="45" t="n"/>
      <c r="E137" s="46" t="n"/>
      <c r="F137" s="47">
        <f>IF($C137="","",IF($D137="IN",$E137*_xlfn.XLOOKUP($C137,'Item Master'!$A$4:$A$53,'Item Master'!$D$4:$D$53,0),$E137*_xlfn.XLOOKUP($C137,'Item Master'!$A$4:$A$53,'Item Master'!$E$4:$E$53,0)))</f>
        <v/>
      </c>
      <c r="G137" s="48">
        <f>IF($B137="","",IF($D137="OUT",$B137&amp;"|"&amp;COUNTIFS($B$4:$B137,$B137,$D$4:$D137,"OUT"),""))</f>
        <v/>
      </c>
    </row>
    <row r="138" ht="32" customHeight="1">
      <c r="A138" s="43" t="n"/>
      <c r="B138" s="44" t="n"/>
      <c r="C138" s="44" t="n"/>
      <c r="D138" s="45" t="n"/>
      <c r="E138" s="46" t="n"/>
      <c r="F138" s="47">
        <f>IF($C138="","",IF($D138="IN",$E138*_xlfn.XLOOKUP($C138,'Item Master'!$A$4:$A$53,'Item Master'!$D$4:$D$53,0),$E138*_xlfn.XLOOKUP($C138,'Item Master'!$A$4:$A$53,'Item Master'!$E$4:$E$53,0)))</f>
        <v/>
      </c>
      <c r="G138" s="48">
        <f>IF($B138="","",IF($D138="OUT",$B138&amp;"|"&amp;COUNTIFS($B$4:$B138,$B138,$D$4:$D138,"OUT"),""))</f>
        <v/>
      </c>
    </row>
    <row r="139" ht="32" customHeight="1">
      <c r="A139" s="43" t="n"/>
      <c r="B139" s="44" t="n"/>
      <c r="C139" s="44" t="n"/>
      <c r="D139" s="45" t="n"/>
      <c r="E139" s="46" t="n"/>
      <c r="F139" s="47">
        <f>IF($C139="","",IF($D139="IN",$E139*_xlfn.XLOOKUP($C139,'Item Master'!$A$4:$A$53,'Item Master'!$D$4:$D$53,0),$E139*_xlfn.XLOOKUP($C139,'Item Master'!$A$4:$A$53,'Item Master'!$E$4:$E$53,0)))</f>
        <v/>
      </c>
      <c r="G139" s="48">
        <f>IF($B139="","",IF($D139="OUT",$B139&amp;"|"&amp;COUNTIFS($B$4:$B139,$B139,$D$4:$D139,"OUT"),""))</f>
        <v/>
      </c>
    </row>
    <row r="140" ht="32" customHeight="1">
      <c r="A140" s="43" t="n"/>
      <c r="B140" s="44" t="n"/>
      <c r="C140" s="44" t="n"/>
      <c r="D140" s="45" t="n"/>
      <c r="E140" s="46" t="n"/>
      <c r="F140" s="47">
        <f>IF($C140="","",IF($D140="IN",$E140*_xlfn.XLOOKUP($C140,'Item Master'!$A$4:$A$53,'Item Master'!$D$4:$D$53,0),$E140*_xlfn.XLOOKUP($C140,'Item Master'!$A$4:$A$53,'Item Master'!$E$4:$E$53,0)))</f>
        <v/>
      </c>
      <c r="G140" s="48">
        <f>IF($B140="","",IF($D140="OUT",$B140&amp;"|"&amp;COUNTIFS($B$4:$B140,$B140,$D$4:$D140,"OUT"),""))</f>
        <v/>
      </c>
    </row>
    <row r="141" ht="32" customHeight="1">
      <c r="A141" s="43" t="n"/>
      <c r="B141" s="44" t="n"/>
      <c r="C141" s="44" t="n"/>
      <c r="D141" s="45" t="n"/>
      <c r="E141" s="46" t="n"/>
      <c r="F141" s="47">
        <f>IF($C141="","",IF($D141="IN",$E141*_xlfn.XLOOKUP($C141,'Item Master'!$A$4:$A$53,'Item Master'!$D$4:$D$53,0),$E141*_xlfn.XLOOKUP($C141,'Item Master'!$A$4:$A$53,'Item Master'!$E$4:$E$53,0)))</f>
        <v/>
      </c>
      <c r="G141" s="48">
        <f>IF($B141="","",IF($D141="OUT",$B141&amp;"|"&amp;COUNTIFS($B$4:$B141,$B141,$D$4:$D141,"OUT"),""))</f>
        <v/>
      </c>
    </row>
    <row r="142" ht="32" customHeight="1">
      <c r="A142" s="43" t="n"/>
      <c r="B142" s="44" t="n"/>
      <c r="C142" s="44" t="n"/>
      <c r="D142" s="45" t="n"/>
      <c r="E142" s="46" t="n"/>
      <c r="F142" s="47">
        <f>IF($C142="","",IF($D142="IN",$E142*_xlfn.XLOOKUP($C142,'Item Master'!$A$4:$A$53,'Item Master'!$D$4:$D$53,0),$E142*_xlfn.XLOOKUP($C142,'Item Master'!$A$4:$A$53,'Item Master'!$E$4:$E$53,0)))</f>
        <v/>
      </c>
      <c r="G142" s="48">
        <f>IF($B142="","",IF($D142="OUT",$B142&amp;"|"&amp;COUNTIFS($B$4:$B142,$B142,$D$4:$D142,"OUT"),""))</f>
        <v/>
      </c>
    </row>
    <row r="143" ht="32" customHeight="1">
      <c r="A143" s="43" t="n"/>
      <c r="B143" s="44" t="n"/>
      <c r="C143" s="44" t="n"/>
      <c r="D143" s="45" t="n"/>
      <c r="E143" s="46" t="n"/>
      <c r="F143" s="47">
        <f>IF($C143="","",IF($D143="IN",$E143*_xlfn.XLOOKUP($C143,'Item Master'!$A$4:$A$53,'Item Master'!$D$4:$D$53,0),$E143*_xlfn.XLOOKUP($C143,'Item Master'!$A$4:$A$53,'Item Master'!$E$4:$E$53,0)))</f>
        <v/>
      </c>
      <c r="G143" s="48">
        <f>IF($B143="","",IF($D143="OUT",$B143&amp;"|"&amp;COUNTIFS($B$4:$B143,$B143,$D$4:$D143,"OUT"),""))</f>
        <v/>
      </c>
    </row>
    <row r="144" ht="32" customHeight="1">
      <c r="A144" s="43" t="n"/>
      <c r="B144" s="44" t="n"/>
      <c r="C144" s="44" t="n"/>
      <c r="D144" s="45" t="n"/>
      <c r="E144" s="46" t="n"/>
      <c r="F144" s="47">
        <f>IF($C144="","",IF($D144="IN",$E144*_xlfn.XLOOKUP($C144,'Item Master'!$A$4:$A$53,'Item Master'!$D$4:$D$53,0),$E144*_xlfn.XLOOKUP($C144,'Item Master'!$A$4:$A$53,'Item Master'!$E$4:$E$53,0)))</f>
        <v/>
      </c>
      <c r="G144" s="48">
        <f>IF($B144="","",IF($D144="OUT",$B144&amp;"|"&amp;COUNTIFS($B$4:$B144,$B144,$D$4:$D144,"OUT"),""))</f>
        <v/>
      </c>
    </row>
    <row r="145" ht="32" customHeight="1">
      <c r="A145" s="43" t="n"/>
      <c r="B145" s="44" t="n"/>
      <c r="C145" s="44" t="n"/>
      <c r="D145" s="45" t="n"/>
      <c r="E145" s="46" t="n"/>
      <c r="F145" s="47">
        <f>IF($C145="","",IF($D145="IN",$E145*_xlfn.XLOOKUP($C145,'Item Master'!$A$4:$A$53,'Item Master'!$D$4:$D$53,0),$E145*_xlfn.XLOOKUP($C145,'Item Master'!$A$4:$A$53,'Item Master'!$E$4:$E$53,0)))</f>
        <v/>
      </c>
      <c r="G145" s="48">
        <f>IF($B145="","",IF($D145="OUT",$B145&amp;"|"&amp;COUNTIFS($B$4:$B145,$B145,$D$4:$D145,"OUT"),""))</f>
        <v/>
      </c>
    </row>
    <row r="146" ht="32" customHeight="1">
      <c r="A146" s="43" t="n"/>
      <c r="B146" s="44" t="n"/>
      <c r="C146" s="44" t="n"/>
      <c r="D146" s="45" t="n"/>
      <c r="E146" s="46" t="n"/>
      <c r="F146" s="47">
        <f>IF($C146="","",IF($D146="IN",$E146*_xlfn.XLOOKUP($C146,'Item Master'!$A$4:$A$53,'Item Master'!$D$4:$D$53,0),$E146*_xlfn.XLOOKUP($C146,'Item Master'!$A$4:$A$53,'Item Master'!$E$4:$E$53,0)))</f>
        <v/>
      </c>
      <c r="G146" s="48">
        <f>IF($B146="","",IF($D146="OUT",$B146&amp;"|"&amp;COUNTIFS($B$4:$B146,$B146,$D$4:$D146,"OUT"),""))</f>
        <v/>
      </c>
    </row>
    <row r="147" ht="32" customHeight="1">
      <c r="A147" s="43" t="n"/>
      <c r="B147" s="44" t="n"/>
      <c r="C147" s="44" t="n"/>
      <c r="D147" s="45" t="n"/>
      <c r="E147" s="46" t="n"/>
      <c r="F147" s="47">
        <f>IF($C147="","",IF($D147="IN",$E147*_xlfn.XLOOKUP($C147,'Item Master'!$A$4:$A$53,'Item Master'!$D$4:$D$53,0),$E147*_xlfn.XLOOKUP($C147,'Item Master'!$A$4:$A$53,'Item Master'!$E$4:$E$53,0)))</f>
        <v/>
      </c>
      <c r="G147" s="48">
        <f>IF($B147="","",IF($D147="OUT",$B147&amp;"|"&amp;COUNTIFS($B$4:$B147,$B147,$D$4:$D147,"OUT"),""))</f>
        <v/>
      </c>
    </row>
    <row r="148" ht="32" customHeight="1">
      <c r="A148" s="43" t="n"/>
      <c r="B148" s="44" t="n"/>
      <c r="C148" s="44" t="n"/>
      <c r="D148" s="45" t="n"/>
      <c r="E148" s="46" t="n"/>
      <c r="F148" s="47">
        <f>IF($C148="","",IF($D148="IN",$E148*_xlfn.XLOOKUP($C148,'Item Master'!$A$4:$A$53,'Item Master'!$D$4:$D$53,0),$E148*_xlfn.XLOOKUP($C148,'Item Master'!$A$4:$A$53,'Item Master'!$E$4:$E$53,0)))</f>
        <v/>
      </c>
      <c r="G148" s="48">
        <f>IF($B148="","",IF($D148="OUT",$B148&amp;"|"&amp;COUNTIFS($B$4:$B148,$B148,$D$4:$D148,"OUT"),""))</f>
        <v/>
      </c>
    </row>
    <row r="149" ht="32" customHeight="1">
      <c r="A149" s="43" t="n"/>
      <c r="B149" s="44" t="n"/>
      <c r="C149" s="44" t="n"/>
      <c r="D149" s="45" t="n"/>
      <c r="E149" s="46" t="n"/>
      <c r="F149" s="47">
        <f>IF($C149="","",IF($D149="IN",$E149*_xlfn.XLOOKUP($C149,'Item Master'!$A$4:$A$53,'Item Master'!$D$4:$D$53,0),$E149*_xlfn.XLOOKUP($C149,'Item Master'!$A$4:$A$53,'Item Master'!$E$4:$E$53,0)))</f>
        <v/>
      </c>
      <c r="G149" s="48">
        <f>IF($B149="","",IF($D149="OUT",$B149&amp;"|"&amp;COUNTIFS($B$4:$B149,$B149,$D$4:$D149,"OUT"),""))</f>
        <v/>
      </c>
    </row>
    <row r="150" ht="32" customHeight="1">
      <c r="A150" s="43" t="n"/>
      <c r="B150" s="44" t="n"/>
      <c r="C150" s="44" t="n"/>
      <c r="D150" s="45" t="n"/>
      <c r="E150" s="46" t="n"/>
      <c r="F150" s="47">
        <f>IF($C150="","",IF($D150="IN",$E150*_xlfn.XLOOKUP($C150,'Item Master'!$A$4:$A$53,'Item Master'!$D$4:$D$53,0),$E150*_xlfn.XLOOKUP($C150,'Item Master'!$A$4:$A$53,'Item Master'!$E$4:$E$53,0)))</f>
        <v/>
      </c>
      <c r="G150" s="48">
        <f>IF($B150="","",IF($D150="OUT",$B150&amp;"|"&amp;COUNTIFS($B$4:$B150,$B150,$D$4:$D150,"OUT"),""))</f>
        <v/>
      </c>
    </row>
    <row r="151" ht="32" customHeight="1">
      <c r="A151" s="43" t="n"/>
      <c r="B151" s="44" t="n"/>
      <c r="C151" s="44" t="n"/>
      <c r="D151" s="45" t="n"/>
      <c r="E151" s="46" t="n"/>
      <c r="F151" s="47">
        <f>IF($C151="","",IF($D151="IN",$E151*_xlfn.XLOOKUP($C151,'Item Master'!$A$4:$A$53,'Item Master'!$D$4:$D$53,0),$E151*_xlfn.XLOOKUP($C151,'Item Master'!$A$4:$A$53,'Item Master'!$E$4:$E$53,0)))</f>
        <v/>
      </c>
      <c r="G151" s="48">
        <f>IF($B151="","",IF($D151="OUT",$B151&amp;"|"&amp;COUNTIFS($B$4:$B151,$B151,$D$4:$D151,"OUT"),""))</f>
        <v/>
      </c>
    </row>
    <row r="152" ht="32" customHeight="1">
      <c r="A152" s="43" t="n"/>
      <c r="B152" s="44" t="n"/>
      <c r="C152" s="44" t="n"/>
      <c r="D152" s="45" t="n"/>
      <c r="E152" s="46" t="n"/>
      <c r="F152" s="47">
        <f>IF($C152="","",IF($D152="IN",$E152*_xlfn.XLOOKUP($C152,'Item Master'!$A$4:$A$53,'Item Master'!$D$4:$D$53,0),$E152*_xlfn.XLOOKUP($C152,'Item Master'!$A$4:$A$53,'Item Master'!$E$4:$E$53,0)))</f>
        <v/>
      </c>
      <c r="G152" s="48">
        <f>IF($B152="","",IF($D152="OUT",$B152&amp;"|"&amp;COUNTIFS($B$4:$B152,$B152,$D$4:$D152,"OUT"),""))</f>
        <v/>
      </c>
    </row>
    <row r="153" ht="32" customHeight="1">
      <c r="A153" s="43" t="n"/>
      <c r="B153" s="44" t="n"/>
      <c r="C153" s="44" t="n"/>
      <c r="D153" s="45" t="n"/>
      <c r="E153" s="46" t="n"/>
      <c r="F153" s="47">
        <f>IF($C153="","",IF($D153="IN",$E153*_xlfn.XLOOKUP($C153,'Item Master'!$A$4:$A$53,'Item Master'!$D$4:$D$53,0),$E153*_xlfn.XLOOKUP($C153,'Item Master'!$A$4:$A$53,'Item Master'!$E$4:$E$53,0)))</f>
        <v/>
      </c>
      <c r="G153" s="48">
        <f>IF($B153="","",IF($D153="OUT",$B153&amp;"|"&amp;COUNTIFS($B$4:$B153,$B153,$D$4:$D153,"OUT"),""))</f>
        <v/>
      </c>
    </row>
    <row r="154" ht="32" customHeight="1">
      <c r="A154" s="43" t="n"/>
      <c r="B154" s="44" t="n"/>
      <c r="C154" s="44" t="n"/>
      <c r="D154" s="45" t="n"/>
      <c r="E154" s="46" t="n"/>
      <c r="F154" s="47">
        <f>IF($C154="","",IF($D154="IN",$E154*_xlfn.XLOOKUP($C154,'Item Master'!$A$4:$A$53,'Item Master'!$D$4:$D$53,0),$E154*_xlfn.XLOOKUP($C154,'Item Master'!$A$4:$A$53,'Item Master'!$E$4:$E$53,0)))</f>
        <v/>
      </c>
      <c r="G154" s="48">
        <f>IF($B154="","",IF($D154="OUT",$B154&amp;"|"&amp;COUNTIFS($B$4:$B154,$B154,$D$4:$D154,"OUT"),""))</f>
        <v/>
      </c>
    </row>
    <row r="155" ht="32" customHeight="1">
      <c r="A155" s="43" t="n"/>
      <c r="B155" s="44" t="n"/>
      <c r="C155" s="44" t="n"/>
      <c r="D155" s="45" t="n"/>
      <c r="E155" s="46" t="n"/>
      <c r="F155" s="47">
        <f>IF($C155="","",IF($D155="IN",$E155*_xlfn.XLOOKUP($C155,'Item Master'!$A$4:$A$53,'Item Master'!$D$4:$D$53,0),$E155*_xlfn.XLOOKUP($C155,'Item Master'!$A$4:$A$53,'Item Master'!$E$4:$E$53,0)))</f>
        <v/>
      </c>
      <c r="G155" s="48">
        <f>IF($B155="","",IF($D155="OUT",$B155&amp;"|"&amp;COUNTIFS($B$4:$B155,$B155,$D$4:$D155,"OUT"),""))</f>
        <v/>
      </c>
    </row>
    <row r="156" ht="32" customHeight="1">
      <c r="A156" s="43" t="n"/>
      <c r="B156" s="44" t="n"/>
      <c r="C156" s="44" t="n"/>
      <c r="D156" s="45" t="n"/>
      <c r="E156" s="46" t="n"/>
      <c r="F156" s="47">
        <f>IF($C156="","",IF($D156="IN",$E156*_xlfn.XLOOKUP($C156,'Item Master'!$A$4:$A$53,'Item Master'!$D$4:$D$53,0),$E156*_xlfn.XLOOKUP($C156,'Item Master'!$A$4:$A$53,'Item Master'!$E$4:$E$53,0)))</f>
        <v/>
      </c>
      <c r="G156" s="48">
        <f>IF($B156="","",IF($D156="OUT",$B156&amp;"|"&amp;COUNTIFS($B$4:$B156,$B156,$D$4:$D156,"OUT"),""))</f>
        <v/>
      </c>
    </row>
    <row r="157" ht="32" customHeight="1">
      <c r="A157" s="43" t="n"/>
      <c r="B157" s="44" t="n"/>
      <c r="C157" s="44" t="n"/>
      <c r="D157" s="45" t="n"/>
      <c r="E157" s="46" t="n"/>
      <c r="F157" s="47">
        <f>IF($C157="","",IF($D157="IN",$E157*_xlfn.XLOOKUP($C157,'Item Master'!$A$4:$A$53,'Item Master'!$D$4:$D$53,0),$E157*_xlfn.XLOOKUP($C157,'Item Master'!$A$4:$A$53,'Item Master'!$E$4:$E$53,0)))</f>
        <v/>
      </c>
      <c r="G157" s="48">
        <f>IF($B157="","",IF($D157="OUT",$B157&amp;"|"&amp;COUNTIFS($B$4:$B157,$B157,$D$4:$D157,"OUT"),""))</f>
        <v/>
      </c>
    </row>
    <row r="158" ht="32" customHeight="1">
      <c r="A158" s="43" t="n"/>
      <c r="B158" s="44" t="n"/>
      <c r="C158" s="44" t="n"/>
      <c r="D158" s="45" t="n"/>
      <c r="E158" s="46" t="n"/>
      <c r="F158" s="47">
        <f>IF($C158="","",IF($D158="IN",$E158*_xlfn.XLOOKUP($C158,'Item Master'!$A$4:$A$53,'Item Master'!$D$4:$D$53,0),$E158*_xlfn.XLOOKUP($C158,'Item Master'!$A$4:$A$53,'Item Master'!$E$4:$E$53,0)))</f>
        <v/>
      </c>
      <c r="G158" s="48">
        <f>IF($B158="","",IF($D158="OUT",$B158&amp;"|"&amp;COUNTIFS($B$4:$B158,$B158,$D$4:$D158,"OUT"),""))</f>
        <v/>
      </c>
    </row>
    <row r="159" ht="32" customHeight="1">
      <c r="A159" s="43" t="n"/>
      <c r="B159" s="44" t="n"/>
      <c r="C159" s="44" t="n"/>
      <c r="D159" s="45" t="n"/>
      <c r="E159" s="46" t="n"/>
      <c r="F159" s="47">
        <f>IF($C159="","",IF($D159="IN",$E159*_xlfn.XLOOKUP($C159,'Item Master'!$A$4:$A$53,'Item Master'!$D$4:$D$53,0),$E159*_xlfn.XLOOKUP($C159,'Item Master'!$A$4:$A$53,'Item Master'!$E$4:$E$53,0)))</f>
        <v/>
      </c>
      <c r="G159" s="48">
        <f>IF($B159="","",IF($D159="OUT",$B159&amp;"|"&amp;COUNTIFS($B$4:$B159,$B159,$D$4:$D159,"OUT"),""))</f>
        <v/>
      </c>
    </row>
    <row r="160" ht="32" customHeight="1">
      <c r="A160" s="43" t="n"/>
      <c r="B160" s="44" t="n"/>
      <c r="C160" s="44" t="n"/>
      <c r="D160" s="45" t="n"/>
      <c r="E160" s="46" t="n"/>
      <c r="F160" s="47">
        <f>IF($C160="","",IF($D160="IN",$E160*_xlfn.XLOOKUP($C160,'Item Master'!$A$4:$A$53,'Item Master'!$D$4:$D$53,0),$E160*_xlfn.XLOOKUP($C160,'Item Master'!$A$4:$A$53,'Item Master'!$E$4:$E$53,0)))</f>
        <v/>
      </c>
      <c r="G160" s="48">
        <f>IF($B160="","",IF($D160="OUT",$B160&amp;"|"&amp;COUNTIFS($B$4:$B160,$B160,$D$4:$D160,"OUT"),""))</f>
        <v/>
      </c>
    </row>
    <row r="161" ht="32" customHeight="1">
      <c r="A161" s="43" t="n"/>
      <c r="B161" s="44" t="n"/>
      <c r="C161" s="44" t="n"/>
      <c r="D161" s="45" t="n"/>
      <c r="E161" s="46" t="n"/>
      <c r="F161" s="47">
        <f>IF($C161="","",IF($D161="IN",$E161*_xlfn.XLOOKUP($C161,'Item Master'!$A$4:$A$53,'Item Master'!$D$4:$D$53,0),$E161*_xlfn.XLOOKUP($C161,'Item Master'!$A$4:$A$53,'Item Master'!$E$4:$E$53,0)))</f>
        <v/>
      </c>
      <c r="G161" s="48">
        <f>IF($B161="","",IF($D161="OUT",$B161&amp;"|"&amp;COUNTIFS($B$4:$B161,$B161,$D$4:$D161,"OUT"),""))</f>
        <v/>
      </c>
    </row>
    <row r="162" ht="32" customHeight="1">
      <c r="A162" s="43" t="n"/>
      <c r="B162" s="44" t="n"/>
      <c r="C162" s="44" t="n"/>
      <c r="D162" s="45" t="n"/>
      <c r="E162" s="46" t="n"/>
      <c r="F162" s="47">
        <f>IF($C162="","",IF($D162="IN",$E162*_xlfn.XLOOKUP($C162,'Item Master'!$A$4:$A$53,'Item Master'!$D$4:$D$53,0),$E162*_xlfn.XLOOKUP($C162,'Item Master'!$A$4:$A$53,'Item Master'!$E$4:$E$53,0)))</f>
        <v/>
      </c>
      <c r="G162" s="48">
        <f>IF($B162="","",IF($D162="OUT",$B162&amp;"|"&amp;COUNTIFS($B$4:$B162,$B162,$D$4:$D162,"OUT"),""))</f>
        <v/>
      </c>
    </row>
    <row r="163" ht="32" customHeight="1">
      <c r="A163" s="43" t="n"/>
      <c r="B163" s="44" t="n"/>
      <c r="C163" s="44" t="n"/>
      <c r="D163" s="45" t="n"/>
      <c r="E163" s="46" t="n"/>
      <c r="F163" s="47">
        <f>IF($C163="","",IF($D163="IN",$E163*_xlfn.XLOOKUP($C163,'Item Master'!$A$4:$A$53,'Item Master'!$D$4:$D$53,0),$E163*_xlfn.XLOOKUP($C163,'Item Master'!$A$4:$A$53,'Item Master'!$E$4:$E$53,0)))</f>
        <v/>
      </c>
      <c r="G163" s="48">
        <f>IF($B163="","",IF($D163="OUT",$B163&amp;"|"&amp;COUNTIFS($B$4:$B163,$B163,$D$4:$D163,"OUT"),""))</f>
        <v/>
      </c>
    </row>
    <row r="164" ht="32" customHeight="1">
      <c r="A164" s="43" t="n"/>
      <c r="B164" s="44" t="n"/>
      <c r="C164" s="44" t="n"/>
      <c r="D164" s="45" t="n"/>
      <c r="E164" s="46" t="n"/>
      <c r="F164" s="47">
        <f>IF($C164="","",IF($D164="IN",$E164*_xlfn.XLOOKUP($C164,'Item Master'!$A$4:$A$53,'Item Master'!$D$4:$D$53,0),$E164*_xlfn.XLOOKUP($C164,'Item Master'!$A$4:$A$53,'Item Master'!$E$4:$E$53,0)))</f>
        <v/>
      </c>
      <c r="G164" s="48">
        <f>IF($B164="","",IF($D164="OUT",$B164&amp;"|"&amp;COUNTIFS($B$4:$B164,$B164,$D$4:$D164,"OUT"),""))</f>
        <v/>
      </c>
    </row>
    <row r="165" ht="32" customHeight="1">
      <c r="A165" s="43" t="n"/>
      <c r="B165" s="44" t="n"/>
      <c r="C165" s="44" t="n"/>
      <c r="D165" s="45" t="n"/>
      <c r="E165" s="46" t="n"/>
      <c r="F165" s="47">
        <f>IF($C165="","",IF($D165="IN",$E165*_xlfn.XLOOKUP($C165,'Item Master'!$A$4:$A$53,'Item Master'!$D$4:$D$53,0),$E165*_xlfn.XLOOKUP($C165,'Item Master'!$A$4:$A$53,'Item Master'!$E$4:$E$53,0)))</f>
        <v/>
      </c>
      <c r="G165" s="48">
        <f>IF($B165="","",IF($D165="OUT",$B165&amp;"|"&amp;COUNTIFS($B$4:$B165,$B165,$D$4:$D165,"OUT"),""))</f>
        <v/>
      </c>
    </row>
    <row r="166" ht="32" customHeight="1">
      <c r="A166" s="43" t="n"/>
      <c r="B166" s="44" t="n"/>
      <c r="C166" s="44" t="n"/>
      <c r="D166" s="45" t="n"/>
      <c r="E166" s="46" t="n"/>
      <c r="F166" s="47">
        <f>IF($C166="","",IF($D166="IN",$E166*_xlfn.XLOOKUP($C166,'Item Master'!$A$4:$A$53,'Item Master'!$D$4:$D$53,0),$E166*_xlfn.XLOOKUP($C166,'Item Master'!$A$4:$A$53,'Item Master'!$E$4:$E$53,0)))</f>
        <v/>
      </c>
      <c r="G166" s="48">
        <f>IF($B166="","",IF($D166="OUT",$B166&amp;"|"&amp;COUNTIFS($B$4:$B166,$B166,$D$4:$D166,"OUT"),""))</f>
        <v/>
      </c>
    </row>
    <row r="167" ht="32" customHeight="1">
      <c r="A167" s="43" t="n"/>
      <c r="B167" s="44" t="n"/>
      <c r="C167" s="44" t="n"/>
      <c r="D167" s="45" t="n"/>
      <c r="E167" s="46" t="n"/>
      <c r="F167" s="47">
        <f>IF($C167="","",IF($D167="IN",$E167*_xlfn.XLOOKUP($C167,'Item Master'!$A$4:$A$53,'Item Master'!$D$4:$D$53,0),$E167*_xlfn.XLOOKUP($C167,'Item Master'!$A$4:$A$53,'Item Master'!$E$4:$E$53,0)))</f>
        <v/>
      </c>
      <c r="G167" s="48">
        <f>IF($B167="","",IF($D167="OUT",$B167&amp;"|"&amp;COUNTIFS($B$4:$B167,$B167,$D$4:$D167,"OUT"),""))</f>
        <v/>
      </c>
    </row>
    <row r="168" ht="32" customHeight="1">
      <c r="A168" s="43" t="n"/>
      <c r="B168" s="44" t="n"/>
      <c r="C168" s="44" t="n"/>
      <c r="D168" s="45" t="n"/>
      <c r="E168" s="46" t="n"/>
      <c r="F168" s="47">
        <f>IF($C168="","",IF($D168="IN",$E168*_xlfn.XLOOKUP($C168,'Item Master'!$A$4:$A$53,'Item Master'!$D$4:$D$53,0),$E168*_xlfn.XLOOKUP($C168,'Item Master'!$A$4:$A$53,'Item Master'!$E$4:$E$53,0)))</f>
        <v/>
      </c>
      <c r="G168" s="48">
        <f>IF($B168="","",IF($D168="OUT",$B168&amp;"|"&amp;COUNTIFS($B$4:$B168,$B168,$D$4:$D168,"OUT"),""))</f>
        <v/>
      </c>
    </row>
    <row r="169" ht="32" customHeight="1">
      <c r="A169" s="43" t="n"/>
      <c r="B169" s="44" t="n"/>
      <c r="C169" s="44" t="n"/>
      <c r="D169" s="45" t="n"/>
      <c r="E169" s="46" t="n"/>
      <c r="F169" s="47">
        <f>IF($C169="","",IF($D169="IN",$E169*_xlfn.XLOOKUP($C169,'Item Master'!$A$4:$A$53,'Item Master'!$D$4:$D$53,0),$E169*_xlfn.XLOOKUP($C169,'Item Master'!$A$4:$A$53,'Item Master'!$E$4:$E$53,0)))</f>
        <v/>
      </c>
      <c r="G169" s="48">
        <f>IF($B169="","",IF($D169="OUT",$B169&amp;"|"&amp;COUNTIFS($B$4:$B169,$B169,$D$4:$D169,"OUT"),""))</f>
        <v/>
      </c>
    </row>
    <row r="170" ht="32" customHeight="1">
      <c r="A170" s="43" t="n"/>
      <c r="B170" s="44" t="n"/>
      <c r="C170" s="44" t="n"/>
      <c r="D170" s="45" t="n"/>
      <c r="E170" s="46" t="n"/>
      <c r="F170" s="47">
        <f>IF($C170="","",IF($D170="IN",$E170*_xlfn.XLOOKUP($C170,'Item Master'!$A$4:$A$53,'Item Master'!$D$4:$D$53,0),$E170*_xlfn.XLOOKUP($C170,'Item Master'!$A$4:$A$53,'Item Master'!$E$4:$E$53,0)))</f>
        <v/>
      </c>
      <c r="G170" s="48">
        <f>IF($B170="","",IF($D170="OUT",$B170&amp;"|"&amp;COUNTIFS($B$4:$B170,$B170,$D$4:$D170,"OUT"),""))</f>
        <v/>
      </c>
    </row>
    <row r="171" ht="32" customHeight="1">
      <c r="A171" s="43" t="n"/>
      <c r="B171" s="44" t="n"/>
      <c r="C171" s="44" t="n"/>
      <c r="D171" s="45" t="n"/>
      <c r="E171" s="46" t="n"/>
      <c r="F171" s="47">
        <f>IF($C171="","",IF($D171="IN",$E171*_xlfn.XLOOKUP($C171,'Item Master'!$A$4:$A$53,'Item Master'!$D$4:$D$53,0),$E171*_xlfn.XLOOKUP($C171,'Item Master'!$A$4:$A$53,'Item Master'!$E$4:$E$53,0)))</f>
        <v/>
      </c>
      <c r="G171" s="48">
        <f>IF($B171="","",IF($D171="OUT",$B171&amp;"|"&amp;COUNTIFS($B$4:$B171,$B171,$D$4:$D171,"OUT"),""))</f>
        <v/>
      </c>
    </row>
    <row r="172" ht="32" customHeight="1">
      <c r="A172" s="43" t="n"/>
      <c r="B172" s="44" t="n"/>
      <c r="C172" s="44" t="n"/>
      <c r="D172" s="45" t="n"/>
      <c r="E172" s="46" t="n"/>
      <c r="F172" s="47">
        <f>IF($C172="","",IF($D172="IN",$E172*_xlfn.XLOOKUP($C172,'Item Master'!$A$4:$A$53,'Item Master'!$D$4:$D$53,0),$E172*_xlfn.XLOOKUP($C172,'Item Master'!$A$4:$A$53,'Item Master'!$E$4:$E$53,0)))</f>
        <v/>
      </c>
      <c r="G172" s="48">
        <f>IF($B172="","",IF($D172="OUT",$B172&amp;"|"&amp;COUNTIFS($B$4:$B172,$B172,$D$4:$D172,"OUT"),""))</f>
        <v/>
      </c>
    </row>
    <row r="173" ht="32" customHeight="1">
      <c r="A173" s="43" t="n"/>
      <c r="B173" s="44" t="n"/>
      <c r="C173" s="44" t="n"/>
      <c r="D173" s="45" t="n"/>
      <c r="E173" s="46" t="n"/>
      <c r="F173" s="47">
        <f>IF($C173="","",IF($D173="IN",$E173*_xlfn.XLOOKUP($C173,'Item Master'!$A$4:$A$53,'Item Master'!$D$4:$D$53,0),$E173*_xlfn.XLOOKUP($C173,'Item Master'!$A$4:$A$53,'Item Master'!$E$4:$E$53,0)))</f>
        <v/>
      </c>
      <c r="G173" s="48">
        <f>IF($B173="","",IF($D173="OUT",$B173&amp;"|"&amp;COUNTIFS($B$4:$B173,$B173,$D$4:$D173,"OUT"),""))</f>
        <v/>
      </c>
    </row>
    <row r="174" ht="32" customHeight="1">
      <c r="A174" s="43" t="n"/>
      <c r="B174" s="44" t="n"/>
      <c r="C174" s="44" t="n"/>
      <c r="D174" s="45" t="n"/>
      <c r="E174" s="46" t="n"/>
      <c r="F174" s="47">
        <f>IF($C174="","",IF($D174="IN",$E174*_xlfn.XLOOKUP($C174,'Item Master'!$A$4:$A$53,'Item Master'!$D$4:$D$53,0),$E174*_xlfn.XLOOKUP($C174,'Item Master'!$A$4:$A$53,'Item Master'!$E$4:$E$53,0)))</f>
        <v/>
      </c>
      <c r="G174" s="48">
        <f>IF($B174="","",IF($D174="OUT",$B174&amp;"|"&amp;COUNTIFS($B$4:$B174,$B174,$D$4:$D174,"OUT"),""))</f>
        <v/>
      </c>
    </row>
    <row r="175" ht="32" customHeight="1">
      <c r="A175" s="43" t="n"/>
      <c r="B175" s="44" t="n"/>
      <c r="C175" s="44" t="n"/>
      <c r="D175" s="45" t="n"/>
      <c r="E175" s="46" t="n"/>
      <c r="F175" s="47">
        <f>IF($C175="","",IF($D175="IN",$E175*_xlfn.XLOOKUP($C175,'Item Master'!$A$4:$A$53,'Item Master'!$D$4:$D$53,0),$E175*_xlfn.XLOOKUP($C175,'Item Master'!$A$4:$A$53,'Item Master'!$E$4:$E$53,0)))</f>
        <v/>
      </c>
      <c r="G175" s="48">
        <f>IF($B175="","",IF($D175="OUT",$B175&amp;"|"&amp;COUNTIFS($B$4:$B175,$B175,$D$4:$D175,"OUT"),""))</f>
        <v/>
      </c>
    </row>
    <row r="176" ht="32" customHeight="1">
      <c r="A176" s="43" t="n"/>
      <c r="B176" s="44" t="n"/>
      <c r="C176" s="44" t="n"/>
      <c r="D176" s="45" t="n"/>
      <c r="E176" s="46" t="n"/>
      <c r="F176" s="47">
        <f>IF($C176="","",IF($D176="IN",$E176*_xlfn.XLOOKUP($C176,'Item Master'!$A$4:$A$53,'Item Master'!$D$4:$D$53,0),$E176*_xlfn.XLOOKUP($C176,'Item Master'!$A$4:$A$53,'Item Master'!$E$4:$E$53,0)))</f>
        <v/>
      </c>
      <c r="G176" s="48">
        <f>IF($B176="","",IF($D176="OUT",$B176&amp;"|"&amp;COUNTIFS($B$4:$B176,$B176,$D$4:$D176,"OUT"),""))</f>
        <v/>
      </c>
    </row>
    <row r="177" ht="32" customHeight="1">
      <c r="A177" s="43" t="n"/>
      <c r="B177" s="44" t="n"/>
      <c r="C177" s="44" t="n"/>
      <c r="D177" s="45" t="n"/>
      <c r="E177" s="46" t="n"/>
      <c r="F177" s="47">
        <f>IF($C177="","",IF($D177="IN",$E177*_xlfn.XLOOKUP($C177,'Item Master'!$A$4:$A$53,'Item Master'!$D$4:$D$53,0),$E177*_xlfn.XLOOKUP($C177,'Item Master'!$A$4:$A$53,'Item Master'!$E$4:$E$53,0)))</f>
        <v/>
      </c>
      <c r="G177" s="48">
        <f>IF($B177="","",IF($D177="OUT",$B177&amp;"|"&amp;COUNTIFS($B$4:$B177,$B177,$D$4:$D177,"OUT"),""))</f>
        <v/>
      </c>
    </row>
    <row r="178" ht="32" customHeight="1">
      <c r="A178" s="43" t="n"/>
      <c r="B178" s="44" t="n"/>
      <c r="C178" s="44" t="n"/>
      <c r="D178" s="45" t="n"/>
      <c r="E178" s="46" t="n"/>
      <c r="F178" s="47">
        <f>IF($C178="","",IF($D178="IN",$E178*_xlfn.XLOOKUP($C178,'Item Master'!$A$4:$A$53,'Item Master'!$D$4:$D$53,0),$E178*_xlfn.XLOOKUP($C178,'Item Master'!$A$4:$A$53,'Item Master'!$E$4:$E$53,0)))</f>
        <v/>
      </c>
      <c r="G178" s="48">
        <f>IF($B178="","",IF($D178="OUT",$B178&amp;"|"&amp;COUNTIFS($B$4:$B178,$B178,$D$4:$D178,"OUT"),""))</f>
        <v/>
      </c>
    </row>
    <row r="179" ht="32" customHeight="1">
      <c r="A179" s="43" t="n"/>
      <c r="B179" s="44" t="n"/>
      <c r="C179" s="44" t="n"/>
      <c r="D179" s="45" t="n"/>
      <c r="E179" s="46" t="n"/>
      <c r="F179" s="47">
        <f>IF($C179="","",IF($D179="IN",$E179*_xlfn.XLOOKUP($C179,'Item Master'!$A$4:$A$53,'Item Master'!$D$4:$D$53,0),$E179*_xlfn.XLOOKUP($C179,'Item Master'!$A$4:$A$53,'Item Master'!$E$4:$E$53,0)))</f>
        <v/>
      </c>
      <c r="G179" s="48">
        <f>IF($B179="","",IF($D179="OUT",$B179&amp;"|"&amp;COUNTIFS($B$4:$B179,$B179,$D$4:$D179,"OUT"),""))</f>
        <v/>
      </c>
    </row>
    <row r="180" ht="32" customHeight="1">
      <c r="A180" s="43" t="n"/>
      <c r="B180" s="44" t="n"/>
      <c r="C180" s="44" t="n"/>
      <c r="D180" s="45" t="n"/>
      <c r="E180" s="46" t="n"/>
      <c r="F180" s="47">
        <f>IF($C180="","",IF($D180="IN",$E180*_xlfn.XLOOKUP($C180,'Item Master'!$A$4:$A$53,'Item Master'!$D$4:$D$53,0),$E180*_xlfn.XLOOKUP($C180,'Item Master'!$A$4:$A$53,'Item Master'!$E$4:$E$53,0)))</f>
        <v/>
      </c>
      <c r="G180" s="48">
        <f>IF($B180="","",IF($D180="OUT",$B180&amp;"|"&amp;COUNTIFS($B$4:$B180,$B180,$D$4:$D180,"OUT"),""))</f>
        <v/>
      </c>
    </row>
    <row r="181" ht="32" customHeight="1">
      <c r="A181" s="43" t="n"/>
      <c r="B181" s="44" t="n"/>
      <c r="C181" s="44" t="n"/>
      <c r="D181" s="45" t="n"/>
      <c r="E181" s="46" t="n"/>
      <c r="F181" s="47">
        <f>IF($C181="","",IF($D181="IN",$E181*_xlfn.XLOOKUP($C181,'Item Master'!$A$4:$A$53,'Item Master'!$D$4:$D$53,0),$E181*_xlfn.XLOOKUP($C181,'Item Master'!$A$4:$A$53,'Item Master'!$E$4:$E$53,0)))</f>
        <v/>
      </c>
      <c r="G181" s="48">
        <f>IF($B181="","",IF($D181="OUT",$B181&amp;"|"&amp;COUNTIFS($B$4:$B181,$B181,$D$4:$D181,"OUT"),""))</f>
        <v/>
      </c>
    </row>
    <row r="182" ht="32" customHeight="1">
      <c r="A182" s="43" t="n"/>
      <c r="B182" s="44" t="n"/>
      <c r="C182" s="44" t="n"/>
      <c r="D182" s="45" t="n"/>
      <c r="E182" s="46" t="n"/>
      <c r="F182" s="47">
        <f>IF($C182="","",IF($D182="IN",$E182*_xlfn.XLOOKUP($C182,'Item Master'!$A$4:$A$53,'Item Master'!$D$4:$D$53,0),$E182*_xlfn.XLOOKUP($C182,'Item Master'!$A$4:$A$53,'Item Master'!$E$4:$E$53,0)))</f>
        <v/>
      </c>
      <c r="G182" s="48">
        <f>IF($B182="","",IF($D182="OUT",$B182&amp;"|"&amp;COUNTIFS($B$4:$B182,$B182,$D$4:$D182,"OUT"),""))</f>
        <v/>
      </c>
    </row>
    <row r="183" ht="32" customHeight="1">
      <c r="A183" s="43" t="n"/>
      <c r="B183" s="44" t="n"/>
      <c r="C183" s="44" t="n"/>
      <c r="D183" s="45" t="n"/>
      <c r="E183" s="46" t="n"/>
      <c r="F183" s="47">
        <f>IF($C183="","",IF($D183="IN",$E183*_xlfn.XLOOKUP($C183,'Item Master'!$A$4:$A$53,'Item Master'!$D$4:$D$53,0),$E183*_xlfn.XLOOKUP($C183,'Item Master'!$A$4:$A$53,'Item Master'!$E$4:$E$53,0)))</f>
        <v/>
      </c>
      <c r="G183" s="48">
        <f>IF($B183="","",IF($D183="OUT",$B183&amp;"|"&amp;COUNTIFS($B$4:$B183,$B183,$D$4:$D183,"OUT"),""))</f>
        <v/>
      </c>
    </row>
    <row r="184" ht="32" customHeight="1">
      <c r="A184" s="43" t="n"/>
      <c r="B184" s="44" t="n"/>
      <c r="C184" s="44" t="n"/>
      <c r="D184" s="45" t="n"/>
      <c r="E184" s="46" t="n"/>
      <c r="F184" s="47">
        <f>IF($C184="","",IF($D184="IN",$E184*_xlfn.XLOOKUP($C184,'Item Master'!$A$4:$A$53,'Item Master'!$D$4:$D$53,0),$E184*_xlfn.XLOOKUP($C184,'Item Master'!$A$4:$A$53,'Item Master'!$E$4:$E$53,0)))</f>
        <v/>
      </c>
      <c r="G184" s="48">
        <f>IF($B184="","",IF($D184="OUT",$B184&amp;"|"&amp;COUNTIFS($B$4:$B184,$B184,$D$4:$D184,"OUT"),""))</f>
        <v/>
      </c>
    </row>
    <row r="185" ht="32" customHeight="1">
      <c r="A185" s="43" t="n"/>
      <c r="B185" s="44" t="n"/>
      <c r="C185" s="44" t="n"/>
      <c r="D185" s="45" t="n"/>
      <c r="E185" s="46" t="n"/>
      <c r="F185" s="47">
        <f>IF($C185="","",IF($D185="IN",$E185*_xlfn.XLOOKUP($C185,'Item Master'!$A$4:$A$53,'Item Master'!$D$4:$D$53,0),$E185*_xlfn.XLOOKUP($C185,'Item Master'!$A$4:$A$53,'Item Master'!$E$4:$E$53,0)))</f>
        <v/>
      </c>
      <c r="G185" s="48">
        <f>IF($B185="","",IF($D185="OUT",$B185&amp;"|"&amp;COUNTIFS($B$4:$B185,$B185,$D$4:$D185,"OUT"),""))</f>
        <v/>
      </c>
    </row>
    <row r="186" ht="32" customHeight="1">
      <c r="A186" s="43" t="n"/>
      <c r="B186" s="44" t="n"/>
      <c r="C186" s="44" t="n"/>
      <c r="D186" s="45" t="n"/>
      <c r="E186" s="46" t="n"/>
      <c r="F186" s="47">
        <f>IF($C186="","",IF($D186="IN",$E186*_xlfn.XLOOKUP($C186,'Item Master'!$A$4:$A$53,'Item Master'!$D$4:$D$53,0),$E186*_xlfn.XLOOKUP($C186,'Item Master'!$A$4:$A$53,'Item Master'!$E$4:$E$53,0)))</f>
        <v/>
      </c>
      <c r="G186" s="48">
        <f>IF($B186="","",IF($D186="OUT",$B186&amp;"|"&amp;COUNTIFS($B$4:$B186,$B186,$D$4:$D186,"OUT"),""))</f>
        <v/>
      </c>
    </row>
    <row r="187" ht="32" customHeight="1">
      <c r="A187" s="43" t="n"/>
      <c r="B187" s="44" t="n"/>
      <c r="C187" s="44" t="n"/>
      <c r="D187" s="45" t="n"/>
      <c r="E187" s="46" t="n"/>
      <c r="F187" s="47">
        <f>IF($C187="","",IF($D187="IN",$E187*_xlfn.XLOOKUP($C187,'Item Master'!$A$4:$A$53,'Item Master'!$D$4:$D$53,0),$E187*_xlfn.XLOOKUP($C187,'Item Master'!$A$4:$A$53,'Item Master'!$E$4:$E$53,0)))</f>
        <v/>
      </c>
      <c r="G187" s="48">
        <f>IF($B187="","",IF($D187="OUT",$B187&amp;"|"&amp;COUNTIFS($B$4:$B187,$B187,$D$4:$D187,"OUT"),""))</f>
        <v/>
      </c>
    </row>
    <row r="188" ht="32" customHeight="1">
      <c r="A188" s="43" t="n"/>
      <c r="B188" s="44" t="n"/>
      <c r="C188" s="44" t="n"/>
      <c r="D188" s="45" t="n"/>
      <c r="E188" s="46" t="n"/>
      <c r="F188" s="47">
        <f>IF($C188="","",IF($D188="IN",$E188*_xlfn.XLOOKUP($C188,'Item Master'!$A$4:$A$53,'Item Master'!$D$4:$D$53,0),$E188*_xlfn.XLOOKUP($C188,'Item Master'!$A$4:$A$53,'Item Master'!$E$4:$E$53,0)))</f>
        <v/>
      </c>
      <c r="G188" s="48">
        <f>IF($B188="","",IF($D188="OUT",$B188&amp;"|"&amp;COUNTIFS($B$4:$B188,$B188,$D$4:$D188,"OUT"),""))</f>
        <v/>
      </c>
    </row>
    <row r="189" ht="32" customHeight="1">
      <c r="A189" s="43" t="n"/>
      <c r="B189" s="44" t="n"/>
      <c r="C189" s="44" t="n"/>
      <c r="D189" s="45" t="n"/>
      <c r="E189" s="46" t="n"/>
      <c r="F189" s="47">
        <f>IF($C189="","",IF($D189="IN",$E189*_xlfn.XLOOKUP($C189,'Item Master'!$A$4:$A$53,'Item Master'!$D$4:$D$53,0),$E189*_xlfn.XLOOKUP($C189,'Item Master'!$A$4:$A$53,'Item Master'!$E$4:$E$53,0)))</f>
        <v/>
      </c>
      <c r="G189" s="48">
        <f>IF($B189="","",IF($D189="OUT",$B189&amp;"|"&amp;COUNTIFS($B$4:$B189,$B189,$D$4:$D189,"OUT"),""))</f>
        <v/>
      </c>
    </row>
    <row r="190" ht="32" customHeight="1">
      <c r="A190" s="43" t="n"/>
      <c r="B190" s="44" t="n"/>
      <c r="C190" s="44" t="n"/>
      <c r="D190" s="45" t="n"/>
      <c r="E190" s="46" t="n"/>
      <c r="F190" s="47">
        <f>IF($C190="","",IF($D190="IN",$E190*_xlfn.XLOOKUP($C190,'Item Master'!$A$4:$A$53,'Item Master'!$D$4:$D$53,0),$E190*_xlfn.XLOOKUP($C190,'Item Master'!$A$4:$A$53,'Item Master'!$E$4:$E$53,0)))</f>
        <v/>
      </c>
      <c r="G190" s="48">
        <f>IF($B190="","",IF($D190="OUT",$B190&amp;"|"&amp;COUNTIFS($B$4:$B190,$B190,$D$4:$D190,"OUT"),""))</f>
        <v/>
      </c>
    </row>
    <row r="191" ht="32" customHeight="1">
      <c r="A191" s="43" t="n"/>
      <c r="B191" s="44" t="n"/>
      <c r="C191" s="44" t="n"/>
      <c r="D191" s="45" t="n"/>
      <c r="E191" s="46" t="n"/>
      <c r="F191" s="47">
        <f>IF($C191="","",IF($D191="IN",$E191*_xlfn.XLOOKUP($C191,'Item Master'!$A$4:$A$53,'Item Master'!$D$4:$D$53,0),$E191*_xlfn.XLOOKUP($C191,'Item Master'!$A$4:$A$53,'Item Master'!$E$4:$E$53,0)))</f>
        <v/>
      </c>
      <c r="G191" s="48">
        <f>IF($B191="","",IF($D191="OUT",$B191&amp;"|"&amp;COUNTIFS($B$4:$B191,$B191,$D$4:$D191,"OUT"),""))</f>
        <v/>
      </c>
    </row>
    <row r="192" ht="32" customHeight="1">
      <c r="A192" s="43" t="n"/>
      <c r="B192" s="44" t="n"/>
      <c r="C192" s="44" t="n"/>
      <c r="D192" s="45" t="n"/>
      <c r="E192" s="46" t="n"/>
      <c r="F192" s="47">
        <f>IF($C192="","",IF($D192="IN",$E192*_xlfn.XLOOKUP($C192,'Item Master'!$A$4:$A$53,'Item Master'!$D$4:$D$53,0),$E192*_xlfn.XLOOKUP($C192,'Item Master'!$A$4:$A$53,'Item Master'!$E$4:$E$53,0)))</f>
        <v/>
      </c>
      <c r="G192" s="48">
        <f>IF($B192="","",IF($D192="OUT",$B192&amp;"|"&amp;COUNTIFS($B$4:$B192,$B192,$D$4:$D192,"OUT"),""))</f>
        <v/>
      </c>
    </row>
    <row r="193" ht="32" customHeight="1">
      <c r="A193" s="43" t="n"/>
      <c r="B193" s="44" t="n"/>
      <c r="C193" s="44" t="n"/>
      <c r="D193" s="45" t="n"/>
      <c r="E193" s="46" t="n"/>
      <c r="F193" s="47">
        <f>IF($C193="","",IF($D193="IN",$E193*_xlfn.XLOOKUP($C193,'Item Master'!$A$4:$A$53,'Item Master'!$D$4:$D$53,0),$E193*_xlfn.XLOOKUP($C193,'Item Master'!$A$4:$A$53,'Item Master'!$E$4:$E$53,0)))</f>
        <v/>
      </c>
      <c r="G193" s="48">
        <f>IF($B193="","",IF($D193="OUT",$B193&amp;"|"&amp;COUNTIFS($B$4:$B193,$B193,$D$4:$D193,"OUT"),""))</f>
        <v/>
      </c>
    </row>
    <row r="194" ht="32" customHeight="1">
      <c r="A194" s="43" t="n"/>
      <c r="B194" s="44" t="n"/>
      <c r="C194" s="44" t="n"/>
      <c r="D194" s="45" t="n"/>
      <c r="E194" s="46" t="n"/>
      <c r="F194" s="47">
        <f>IF($C194="","",IF($D194="IN",$E194*_xlfn.XLOOKUP($C194,'Item Master'!$A$4:$A$53,'Item Master'!$D$4:$D$53,0),$E194*_xlfn.XLOOKUP($C194,'Item Master'!$A$4:$A$53,'Item Master'!$E$4:$E$53,0)))</f>
        <v/>
      </c>
      <c r="G194" s="48">
        <f>IF($B194="","",IF($D194="OUT",$B194&amp;"|"&amp;COUNTIFS($B$4:$B194,$B194,$D$4:$D194,"OUT"),""))</f>
        <v/>
      </c>
    </row>
    <row r="195" ht="32" customHeight="1">
      <c r="A195" s="43" t="n"/>
      <c r="B195" s="44" t="n"/>
      <c r="C195" s="44" t="n"/>
      <c r="D195" s="45" t="n"/>
      <c r="E195" s="46" t="n"/>
      <c r="F195" s="47">
        <f>IF($C195="","",IF($D195="IN",$E195*_xlfn.XLOOKUP($C195,'Item Master'!$A$4:$A$53,'Item Master'!$D$4:$D$53,0),$E195*_xlfn.XLOOKUP($C195,'Item Master'!$A$4:$A$53,'Item Master'!$E$4:$E$53,0)))</f>
        <v/>
      </c>
      <c r="G195" s="48">
        <f>IF($B195="","",IF($D195="OUT",$B195&amp;"|"&amp;COUNTIFS($B$4:$B195,$B195,$D$4:$D195,"OUT"),""))</f>
        <v/>
      </c>
    </row>
    <row r="196" ht="32" customHeight="1">
      <c r="A196" s="43" t="n"/>
      <c r="B196" s="44" t="n"/>
      <c r="C196" s="44" t="n"/>
      <c r="D196" s="45" t="n"/>
      <c r="E196" s="46" t="n"/>
      <c r="F196" s="47">
        <f>IF($C196="","",IF($D196="IN",$E196*_xlfn.XLOOKUP($C196,'Item Master'!$A$4:$A$53,'Item Master'!$D$4:$D$53,0),$E196*_xlfn.XLOOKUP($C196,'Item Master'!$A$4:$A$53,'Item Master'!$E$4:$E$53,0)))</f>
        <v/>
      </c>
      <c r="G196" s="48">
        <f>IF($B196="","",IF($D196="OUT",$B196&amp;"|"&amp;COUNTIFS($B$4:$B196,$B196,$D$4:$D196,"OUT"),""))</f>
        <v/>
      </c>
    </row>
    <row r="197" ht="32" customHeight="1">
      <c r="A197" s="43" t="n"/>
      <c r="B197" s="44" t="n"/>
      <c r="C197" s="44" t="n"/>
      <c r="D197" s="45" t="n"/>
      <c r="E197" s="46" t="n"/>
      <c r="F197" s="47">
        <f>IF($C197="","",IF($D197="IN",$E197*_xlfn.XLOOKUP($C197,'Item Master'!$A$4:$A$53,'Item Master'!$D$4:$D$53,0),$E197*_xlfn.XLOOKUP($C197,'Item Master'!$A$4:$A$53,'Item Master'!$E$4:$E$53,0)))</f>
        <v/>
      </c>
      <c r="G197" s="48">
        <f>IF($B197="","",IF($D197="OUT",$B197&amp;"|"&amp;COUNTIFS($B$4:$B197,$B197,$D$4:$D197,"OUT"),""))</f>
        <v/>
      </c>
    </row>
    <row r="198" ht="32" customHeight="1">
      <c r="A198" s="43" t="n"/>
      <c r="B198" s="44" t="n"/>
      <c r="C198" s="44" t="n"/>
      <c r="D198" s="45" t="n"/>
      <c r="E198" s="46" t="n"/>
      <c r="F198" s="47">
        <f>IF($C198="","",IF($D198="IN",$E198*_xlfn.XLOOKUP($C198,'Item Master'!$A$4:$A$53,'Item Master'!$D$4:$D$53,0),$E198*_xlfn.XLOOKUP($C198,'Item Master'!$A$4:$A$53,'Item Master'!$E$4:$E$53,0)))</f>
        <v/>
      </c>
      <c r="G198" s="48">
        <f>IF($B198="","",IF($D198="OUT",$B198&amp;"|"&amp;COUNTIFS($B$4:$B198,$B198,$D$4:$D198,"OUT"),""))</f>
        <v/>
      </c>
    </row>
    <row r="199" ht="32" customHeight="1">
      <c r="A199" s="43" t="n"/>
      <c r="B199" s="44" t="n"/>
      <c r="C199" s="44" t="n"/>
      <c r="D199" s="45" t="n"/>
      <c r="E199" s="46" t="n"/>
      <c r="F199" s="47">
        <f>IF($C199="","",IF($D199="IN",$E199*_xlfn.XLOOKUP($C199,'Item Master'!$A$4:$A$53,'Item Master'!$D$4:$D$53,0),$E199*_xlfn.XLOOKUP($C199,'Item Master'!$A$4:$A$53,'Item Master'!$E$4:$E$53,0)))</f>
        <v/>
      </c>
      <c r="G199" s="48">
        <f>IF($B199="","",IF($D199="OUT",$B199&amp;"|"&amp;COUNTIFS($B$4:$B199,$B199,$D$4:$D199,"OUT"),""))</f>
        <v/>
      </c>
    </row>
    <row r="200" ht="32" customHeight="1">
      <c r="A200" s="43" t="n"/>
      <c r="B200" s="44" t="n"/>
      <c r="C200" s="44" t="n"/>
      <c r="D200" s="45" t="n"/>
      <c r="E200" s="46" t="n"/>
      <c r="F200" s="47">
        <f>IF($C200="","",IF($D200="IN",$E200*_xlfn.XLOOKUP($C200,'Item Master'!$A$4:$A$53,'Item Master'!$D$4:$D$53,0),$E200*_xlfn.XLOOKUP($C200,'Item Master'!$A$4:$A$53,'Item Master'!$E$4:$E$53,0)))</f>
        <v/>
      </c>
      <c r="G200" s="48">
        <f>IF($B200="","",IF($D200="OUT",$B200&amp;"|"&amp;COUNTIFS($B$4:$B200,$B200,$D$4:$D200,"OUT"),""))</f>
        <v/>
      </c>
    </row>
    <row r="201" ht="32" customHeight="1">
      <c r="A201" s="43" t="n"/>
      <c r="B201" s="44" t="n"/>
      <c r="C201" s="44" t="n"/>
      <c r="D201" s="45" t="n"/>
      <c r="E201" s="46" t="n"/>
      <c r="F201" s="47">
        <f>IF($C201="","",IF($D201="IN",$E201*_xlfn.XLOOKUP($C201,'Item Master'!$A$4:$A$53,'Item Master'!$D$4:$D$53,0),$E201*_xlfn.XLOOKUP($C201,'Item Master'!$A$4:$A$53,'Item Master'!$E$4:$E$53,0)))</f>
        <v/>
      </c>
      <c r="G201" s="48">
        <f>IF($B201="","",IF($D201="OUT",$B201&amp;"|"&amp;COUNTIFS($B$4:$B201,$B201,$D$4:$D201,"OUT"),""))</f>
        <v/>
      </c>
    </row>
    <row r="202" ht="32" customHeight="1">
      <c r="A202" s="43" t="n"/>
      <c r="B202" s="44" t="n"/>
      <c r="C202" s="44" t="n"/>
      <c r="D202" s="45" t="n"/>
      <c r="E202" s="46" t="n"/>
      <c r="F202" s="47">
        <f>IF($C202="","",IF($D202="IN",$E202*_xlfn.XLOOKUP($C202,'Item Master'!$A$4:$A$53,'Item Master'!$D$4:$D$53,0),$E202*_xlfn.XLOOKUP($C202,'Item Master'!$A$4:$A$53,'Item Master'!$E$4:$E$53,0)))</f>
        <v/>
      </c>
      <c r="G202" s="48">
        <f>IF($B202="","",IF($D202="OUT",$B202&amp;"|"&amp;COUNTIFS($B$4:$B202,$B202,$D$4:$D202,"OUT"),""))</f>
        <v/>
      </c>
    </row>
    <row r="203" ht="32" customHeight="1">
      <c r="A203" s="43" t="n"/>
      <c r="B203" s="44" t="n"/>
      <c r="C203" s="44" t="n"/>
      <c r="D203" s="45" t="n"/>
      <c r="E203" s="46" t="n"/>
      <c r="F203" s="47">
        <f>IF($C203="","",IF($D203="IN",$E203*_xlfn.XLOOKUP($C203,'Item Master'!$A$4:$A$53,'Item Master'!$D$4:$D$53,0),$E203*_xlfn.XLOOKUP($C203,'Item Master'!$A$4:$A$53,'Item Master'!$E$4:$E$53,0)))</f>
        <v/>
      </c>
      <c r="G203" s="48">
        <f>IF($B203="","",IF($D203="OUT",$B203&amp;"|"&amp;COUNTIFS($B$4:$B203,$B203,$D$4:$D203,"OUT"),""))</f>
        <v/>
      </c>
    </row>
    <row r="204" ht="32" customHeight="1">
      <c r="A204" s="43" t="n"/>
      <c r="B204" s="44" t="n"/>
      <c r="C204" s="44" t="n"/>
      <c r="D204" s="45" t="n"/>
      <c r="E204" s="46" t="n"/>
      <c r="F204" s="47">
        <f>IF($C204="","",IF($D204="IN",$E204*_xlfn.XLOOKUP($C204,'Item Master'!$A$4:$A$53,'Item Master'!$D$4:$D$53,0),$E204*_xlfn.XLOOKUP($C204,'Item Master'!$A$4:$A$53,'Item Master'!$E$4:$E$53,0)))</f>
        <v/>
      </c>
      <c r="G204" s="48">
        <f>IF($B204="","",IF($D204="OUT",$B204&amp;"|"&amp;COUNTIFS($B$4:$B204,$B204,$D$4:$D204,"OUT"),""))</f>
        <v/>
      </c>
    </row>
    <row r="205" ht="32" customHeight="1">
      <c r="A205" s="43" t="n"/>
      <c r="B205" s="44" t="n"/>
      <c r="C205" s="44" t="n"/>
      <c r="D205" s="45" t="n"/>
      <c r="E205" s="46" t="n"/>
      <c r="F205" s="47">
        <f>IF($C205="","",IF($D205="IN",$E205*_xlfn.XLOOKUP($C205,'Item Master'!$A$4:$A$53,'Item Master'!$D$4:$D$53,0),$E205*_xlfn.XLOOKUP($C205,'Item Master'!$A$4:$A$53,'Item Master'!$E$4:$E$53,0)))</f>
        <v/>
      </c>
      <c r="G205" s="48">
        <f>IF($B205="","",IF($D205="OUT",$B205&amp;"|"&amp;COUNTIFS($B$4:$B205,$B205,$D$4:$D205,"OUT"),""))</f>
        <v/>
      </c>
    </row>
    <row r="206" ht="32" customHeight="1">
      <c r="A206" s="43" t="n"/>
      <c r="B206" s="44" t="n"/>
      <c r="C206" s="44" t="n"/>
      <c r="D206" s="45" t="n"/>
      <c r="E206" s="46" t="n"/>
      <c r="F206" s="47">
        <f>IF($C206="","",IF($D206="IN",$E206*_xlfn.XLOOKUP($C206,'Item Master'!$A$4:$A$53,'Item Master'!$D$4:$D$53,0),$E206*_xlfn.XLOOKUP($C206,'Item Master'!$A$4:$A$53,'Item Master'!$E$4:$E$53,0)))</f>
        <v/>
      </c>
      <c r="G206" s="48">
        <f>IF($B206="","",IF($D206="OUT",$B206&amp;"|"&amp;COUNTIFS($B$4:$B206,$B206,$D$4:$D206,"OUT"),""))</f>
        <v/>
      </c>
    </row>
    <row r="207" ht="32" customHeight="1">
      <c r="A207" s="43" t="n"/>
      <c r="B207" s="44" t="n"/>
      <c r="C207" s="44" t="n"/>
      <c r="D207" s="45" t="n"/>
      <c r="E207" s="46" t="n"/>
      <c r="F207" s="47">
        <f>IF($C207="","",IF($D207="IN",$E207*_xlfn.XLOOKUP($C207,'Item Master'!$A$4:$A$53,'Item Master'!$D$4:$D$53,0),$E207*_xlfn.XLOOKUP($C207,'Item Master'!$A$4:$A$53,'Item Master'!$E$4:$E$53,0)))</f>
        <v/>
      </c>
      <c r="G207" s="48">
        <f>IF($B207="","",IF($D207="OUT",$B207&amp;"|"&amp;COUNTIFS($B$4:$B207,$B207,$D$4:$D207,"OUT"),""))</f>
        <v/>
      </c>
    </row>
    <row r="208" ht="32" customHeight="1">
      <c r="A208" s="43" t="n"/>
      <c r="B208" s="44" t="n"/>
      <c r="C208" s="44" t="n"/>
      <c r="D208" s="45" t="n"/>
      <c r="E208" s="46" t="n"/>
      <c r="F208" s="47">
        <f>IF($C208="","",IF($D208="IN",$E208*_xlfn.XLOOKUP($C208,'Item Master'!$A$4:$A$53,'Item Master'!$D$4:$D$53,0),$E208*_xlfn.XLOOKUP($C208,'Item Master'!$A$4:$A$53,'Item Master'!$E$4:$E$53,0)))</f>
        <v/>
      </c>
      <c r="G208" s="48">
        <f>IF($B208="","",IF($D208="OUT",$B208&amp;"|"&amp;COUNTIFS($B$4:$B208,$B208,$D$4:$D208,"OUT"),""))</f>
        <v/>
      </c>
    </row>
    <row r="209" ht="32" customHeight="1">
      <c r="A209" s="43" t="n"/>
      <c r="B209" s="44" t="n"/>
      <c r="C209" s="44" t="n"/>
      <c r="D209" s="45" t="n"/>
      <c r="E209" s="46" t="n"/>
      <c r="F209" s="47">
        <f>IF($C209="","",IF($D209="IN",$E209*_xlfn.XLOOKUP($C209,'Item Master'!$A$4:$A$53,'Item Master'!$D$4:$D$53,0),$E209*_xlfn.XLOOKUP($C209,'Item Master'!$A$4:$A$53,'Item Master'!$E$4:$E$53,0)))</f>
        <v/>
      </c>
      <c r="G209" s="48">
        <f>IF($B209="","",IF($D209="OUT",$B209&amp;"|"&amp;COUNTIFS($B$4:$B209,$B209,$D$4:$D209,"OUT"),""))</f>
        <v/>
      </c>
    </row>
    <row r="210" ht="32" customHeight="1">
      <c r="A210" s="43" t="n"/>
      <c r="B210" s="44" t="n"/>
      <c r="C210" s="44" t="n"/>
      <c r="D210" s="45" t="n"/>
      <c r="E210" s="46" t="n"/>
      <c r="F210" s="47">
        <f>IF($C210="","",IF($D210="IN",$E210*_xlfn.XLOOKUP($C210,'Item Master'!$A$4:$A$53,'Item Master'!$D$4:$D$53,0),$E210*_xlfn.XLOOKUP($C210,'Item Master'!$A$4:$A$53,'Item Master'!$E$4:$E$53,0)))</f>
        <v/>
      </c>
      <c r="G210" s="48">
        <f>IF($B210="","",IF($D210="OUT",$B210&amp;"|"&amp;COUNTIFS($B$4:$B210,$B210,$D$4:$D210,"OUT"),""))</f>
        <v/>
      </c>
    </row>
    <row r="211" ht="32" customHeight="1">
      <c r="A211" s="43" t="n"/>
      <c r="B211" s="44" t="n"/>
      <c r="C211" s="44" t="n"/>
      <c r="D211" s="45" t="n"/>
      <c r="E211" s="46" t="n"/>
      <c r="F211" s="47">
        <f>IF($C211="","",IF($D211="IN",$E211*_xlfn.XLOOKUP($C211,'Item Master'!$A$4:$A$53,'Item Master'!$D$4:$D$53,0),$E211*_xlfn.XLOOKUP($C211,'Item Master'!$A$4:$A$53,'Item Master'!$E$4:$E$53,0)))</f>
        <v/>
      </c>
      <c r="G211" s="48">
        <f>IF($B211="","",IF($D211="OUT",$B211&amp;"|"&amp;COUNTIFS($B$4:$B211,$B211,$D$4:$D211,"OUT"),""))</f>
        <v/>
      </c>
    </row>
    <row r="212" ht="32" customHeight="1">
      <c r="A212" s="43" t="n"/>
      <c r="B212" s="44" t="n"/>
      <c r="C212" s="44" t="n"/>
      <c r="D212" s="45" t="n"/>
      <c r="E212" s="46" t="n"/>
      <c r="F212" s="47">
        <f>IF($C212="","",IF($D212="IN",$E212*_xlfn.XLOOKUP($C212,'Item Master'!$A$4:$A$53,'Item Master'!$D$4:$D$53,0),$E212*_xlfn.XLOOKUP($C212,'Item Master'!$A$4:$A$53,'Item Master'!$E$4:$E$53,0)))</f>
        <v/>
      </c>
      <c r="G212" s="48">
        <f>IF($B212="","",IF($D212="OUT",$B212&amp;"|"&amp;COUNTIFS($B$4:$B212,$B212,$D$4:$D212,"OUT"),""))</f>
        <v/>
      </c>
    </row>
    <row r="213" ht="32" customHeight="1">
      <c r="A213" s="43" t="n"/>
      <c r="B213" s="44" t="n"/>
      <c r="C213" s="44" t="n"/>
      <c r="D213" s="45" t="n"/>
      <c r="E213" s="46" t="n"/>
      <c r="F213" s="47">
        <f>IF($C213="","",IF($D213="IN",$E213*_xlfn.XLOOKUP($C213,'Item Master'!$A$4:$A$53,'Item Master'!$D$4:$D$53,0),$E213*_xlfn.XLOOKUP($C213,'Item Master'!$A$4:$A$53,'Item Master'!$E$4:$E$53,0)))</f>
        <v/>
      </c>
      <c r="G213" s="48">
        <f>IF($B213="","",IF($D213="OUT",$B213&amp;"|"&amp;COUNTIFS($B$4:$B213,$B213,$D$4:$D213,"OUT"),""))</f>
        <v/>
      </c>
    </row>
    <row r="214" ht="32" customHeight="1">
      <c r="A214" s="43" t="n"/>
      <c r="B214" s="44" t="n"/>
      <c r="C214" s="44" t="n"/>
      <c r="D214" s="45" t="n"/>
      <c r="E214" s="46" t="n"/>
      <c r="F214" s="47">
        <f>IF($C214="","",IF($D214="IN",$E214*_xlfn.XLOOKUP($C214,'Item Master'!$A$4:$A$53,'Item Master'!$D$4:$D$53,0),$E214*_xlfn.XLOOKUP($C214,'Item Master'!$A$4:$A$53,'Item Master'!$E$4:$E$53,0)))</f>
        <v/>
      </c>
      <c r="G214" s="48">
        <f>IF($B214="","",IF($D214="OUT",$B214&amp;"|"&amp;COUNTIFS($B$4:$B214,$B214,$D$4:$D214,"OUT"),""))</f>
        <v/>
      </c>
    </row>
    <row r="215" ht="32" customHeight="1">
      <c r="A215" s="43" t="n"/>
      <c r="B215" s="44" t="n"/>
      <c r="C215" s="44" t="n"/>
      <c r="D215" s="45" t="n"/>
      <c r="E215" s="46" t="n"/>
      <c r="F215" s="47">
        <f>IF($C215="","",IF($D215="IN",$E215*_xlfn.XLOOKUP($C215,'Item Master'!$A$4:$A$53,'Item Master'!$D$4:$D$53,0),$E215*_xlfn.XLOOKUP($C215,'Item Master'!$A$4:$A$53,'Item Master'!$E$4:$E$53,0)))</f>
        <v/>
      </c>
      <c r="G215" s="48">
        <f>IF($B215="","",IF($D215="OUT",$B215&amp;"|"&amp;COUNTIFS($B$4:$B215,$B215,$D$4:$D215,"OUT"),""))</f>
        <v/>
      </c>
    </row>
    <row r="216" ht="32" customHeight="1">
      <c r="A216" s="43" t="n"/>
      <c r="B216" s="44" t="n"/>
      <c r="C216" s="44" t="n"/>
      <c r="D216" s="45" t="n"/>
      <c r="E216" s="46" t="n"/>
      <c r="F216" s="47">
        <f>IF($C216="","",IF($D216="IN",$E216*_xlfn.XLOOKUP($C216,'Item Master'!$A$4:$A$53,'Item Master'!$D$4:$D$53,0),$E216*_xlfn.XLOOKUP($C216,'Item Master'!$A$4:$A$53,'Item Master'!$E$4:$E$53,0)))</f>
        <v/>
      </c>
      <c r="G216" s="48">
        <f>IF($B216="","",IF($D216="OUT",$B216&amp;"|"&amp;COUNTIFS($B$4:$B216,$B216,$D$4:$D216,"OUT"),""))</f>
        <v/>
      </c>
    </row>
    <row r="217" ht="32" customHeight="1">
      <c r="A217" s="43" t="n"/>
      <c r="B217" s="44" t="n"/>
      <c r="C217" s="44" t="n"/>
      <c r="D217" s="45" t="n"/>
      <c r="E217" s="46" t="n"/>
      <c r="F217" s="47">
        <f>IF($C217="","",IF($D217="IN",$E217*_xlfn.XLOOKUP($C217,'Item Master'!$A$4:$A$53,'Item Master'!$D$4:$D$53,0),$E217*_xlfn.XLOOKUP($C217,'Item Master'!$A$4:$A$53,'Item Master'!$E$4:$E$53,0)))</f>
        <v/>
      </c>
      <c r="G217" s="48">
        <f>IF($B217="","",IF($D217="OUT",$B217&amp;"|"&amp;COUNTIFS($B$4:$B217,$B217,$D$4:$D217,"OUT"),""))</f>
        <v/>
      </c>
    </row>
    <row r="218" ht="32" customHeight="1">
      <c r="A218" s="43" t="n"/>
      <c r="B218" s="44" t="n"/>
      <c r="C218" s="44" t="n"/>
      <c r="D218" s="45" t="n"/>
      <c r="E218" s="46" t="n"/>
      <c r="F218" s="47">
        <f>IF($C218="","",IF($D218="IN",$E218*_xlfn.XLOOKUP($C218,'Item Master'!$A$4:$A$53,'Item Master'!$D$4:$D$53,0),$E218*_xlfn.XLOOKUP($C218,'Item Master'!$A$4:$A$53,'Item Master'!$E$4:$E$53,0)))</f>
        <v/>
      </c>
      <c r="G218" s="48">
        <f>IF($B218="","",IF($D218="OUT",$B218&amp;"|"&amp;COUNTIFS($B$4:$B218,$B218,$D$4:$D218,"OUT"),""))</f>
        <v/>
      </c>
    </row>
    <row r="219" ht="32" customHeight="1">
      <c r="A219" s="43" t="n"/>
      <c r="B219" s="44" t="n"/>
      <c r="C219" s="44" t="n"/>
      <c r="D219" s="45" t="n"/>
      <c r="E219" s="46" t="n"/>
      <c r="F219" s="47">
        <f>IF($C219="","",IF($D219="IN",$E219*_xlfn.XLOOKUP($C219,'Item Master'!$A$4:$A$53,'Item Master'!$D$4:$D$53,0),$E219*_xlfn.XLOOKUP($C219,'Item Master'!$A$4:$A$53,'Item Master'!$E$4:$E$53,0)))</f>
        <v/>
      </c>
      <c r="G219" s="48">
        <f>IF($B219="","",IF($D219="OUT",$B219&amp;"|"&amp;COUNTIFS($B$4:$B219,$B219,$D$4:$D219,"OUT"),""))</f>
        <v/>
      </c>
    </row>
    <row r="220" ht="32" customHeight="1">
      <c r="A220" s="43" t="n"/>
      <c r="B220" s="44" t="n"/>
      <c r="C220" s="44" t="n"/>
      <c r="D220" s="45" t="n"/>
      <c r="E220" s="46" t="n"/>
      <c r="F220" s="47">
        <f>IF($C220="","",IF($D220="IN",$E220*_xlfn.XLOOKUP($C220,'Item Master'!$A$4:$A$53,'Item Master'!$D$4:$D$53,0),$E220*_xlfn.XLOOKUP($C220,'Item Master'!$A$4:$A$53,'Item Master'!$E$4:$E$53,0)))</f>
        <v/>
      </c>
      <c r="G220" s="48">
        <f>IF($B220="","",IF($D220="OUT",$B220&amp;"|"&amp;COUNTIFS($B$4:$B220,$B220,$D$4:$D220,"OUT"),""))</f>
        <v/>
      </c>
    </row>
    <row r="221" ht="32" customHeight="1">
      <c r="A221" s="43" t="n"/>
      <c r="B221" s="44" t="n"/>
      <c r="C221" s="44" t="n"/>
      <c r="D221" s="45" t="n"/>
      <c r="E221" s="46" t="n"/>
      <c r="F221" s="47">
        <f>IF($C221="","",IF($D221="IN",$E221*_xlfn.XLOOKUP($C221,'Item Master'!$A$4:$A$53,'Item Master'!$D$4:$D$53,0),$E221*_xlfn.XLOOKUP($C221,'Item Master'!$A$4:$A$53,'Item Master'!$E$4:$E$53,0)))</f>
        <v/>
      </c>
      <c r="G221" s="48">
        <f>IF($B221="","",IF($D221="OUT",$B221&amp;"|"&amp;COUNTIFS($B$4:$B221,$B221,$D$4:$D221,"OUT"),""))</f>
        <v/>
      </c>
    </row>
    <row r="222" ht="32" customHeight="1">
      <c r="A222" s="43" t="n"/>
      <c r="B222" s="44" t="n"/>
      <c r="C222" s="44" t="n"/>
      <c r="D222" s="45" t="n"/>
      <c r="E222" s="46" t="n"/>
      <c r="F222" s="47">
        <f>IF($C222="","",IF($D222="IN",$E222*_xlfn.XLOOKUP($C222,'Item Master'!$A$4:$A$53,'Item Master'!$D$4:$D$53,0),$E222*_xlfn.XLOOKUP($C222,'Item Master'!$A$4:$A$53,'Item Master'!$E$4:$E$53,0)))</f>
        <v/>
      </c>
      <c r="G222" s="48">
        <f>IF($B222="","",IF($D222="OUT",$B222&amp;"|"&amp;COUNTIFS($B$4:$B222,$B222,$D$4:$D222,"OUT"),""))</f>
        <v/>
      </c>
    </row>
    <row r="223" ht="32" customHeight="1">
      <c r="A223" s="43" t="n"/>
      <c r="B223" s="44" t="n"/>
      <c r="C223" s="44" t="n"/>
      <c r="D223" s="45" t="n"/>
      <c r="E223" s="46" t="n"/>
      <c r="F223" s="47">
        <f>IF($C223="","",IF($D223="IN",$E223*_xlfn.XLOOKUP($C223,'Item Master'!$A$4:$A$53,'Item Master'!$D$4:$D$53,0),$E223*_xlfn.XLOOKUP($C223,'Item Master'!$A$4:$A$53,'Item Master'!$E$4:$E$53,0)))</f>
        <v/>
      </c>
      <c r="G223" s="48">
        <f>IF($B223="","",IF($D223="OUT",$B223&amp;"|"&amp;COUNTIFS($B$4:$B223,$B223,$D$4:$D223,"OUT"),""))</f>
        <v/>
      </c>
    </row>
    <row r="224" ht="32" customHeight="1">
      <c r="A224" s="43" t="n"/>
      <c r="B224" s="44" t="n"/>
      <c r="C224" s="44" t="n"/>
      <c r="D224" s="45" t="n"/>
      <c r="E224" s="46" t="n"/>
      <c r="F224" s="47">
        <f>IF($C224="","",IF($D224="IN",$E224*_xlfn.XLOOKUP($C224,'Item Master'!$A$4:$A$53,'Item Master'!$D$4:$D$53,0),$E224*_xlfn.XLOOKUP($C224,'Item Master'!$A$4:$A$53,'Item Master'!$E$4:$E$53,0)))</f>
        <v/>
      </c>
      <c r="G224" s="48">
        <f>IF($B224="","",IF($D224="OUT",$B224&amp;"|"&amp;COUNTIFS($B$4:$B224,$B224,$D$4:$D224,"OUT"),""))</f>
        <v/>
      </c>
    </row>
    <row r="225" ht="32" customHeight="1">
      <c r="A225" s="43" t="n"/>
      <c r="B225" s="44" t="n"/>
      <c r="C225" s="44" t="n"/>
      <c r="D225" s="45" t="n"/>
      <c r="E225" s="46" t="n"/>
      <c r="F225" s="47">
        <f>IF($C225="","",IF($D225="IN",$E225*_xlfn.XLOOKUP($C225,'Item Master'!$A$4:$A$53,'Item Master'!$D$4:$D$53,0),$E225*_xlfn.XLOOKUP($C225,'Item Master'!$A$4:$A$53,'Item Master'!$E$4:$E$53,0)))</f>
        <v/>
      </c>
      <c r="G225" s="48">
        <f>IF($B225="","",IF($D225="OUT",$B225&amp;"|"&amp;COUNTIFS($B$4:$B225,$B225,$D$4:$D225,"OUT"),""))</f>
        <v/>
      </c>
    </row>
    <row r="226" ht="32" customHeight="1">
      <c r="A226" s="43" t="n"/>
      <c r="B226" s="44" t="n"/>
      <c r="C226" s="44" t="n"/>
      <c r="D226" s="45" t="n"/>
      <c r="E226" s="46" t="n"/>
      <c r="F226" s="47">
        <f>IF($C226="","",IF($D226="IN",$E226*_xlfn.XLOOKUP($C226,'Item Master'!$A$4:$A$53,'Item Master'!$D$4:$D$53,0),$E226*_xlfn.XLOOKUP($C226,'Item Master'!$A$4:$A$53,'Item Master'!$E$4:$E$53,0)))</f>
        <v/>
      </c>
      <c r="G226" s="48">
        <f>IF($B226="","",IF($D226="OUT",$B226&amp;"|"&amp;COUNTIFS($B$4:$B226,$B226,$D$4:$D226,"OUT"),""))</f>
        <v/>
      </c>
    </row>
    <row r="227" ht="32" customHeight="1">
      <c r="A227" s="43" t="n"/>
      <c r="B227" s="44" t="n"/>
      <c r="C227" s="44" t="n"/>
      <c r="D227" s="45" t="n"/>
      <c r="E227" s="46" t="n"/>
      <c r="F227" s="47">
        <f>IF($C227="","",IF($D227="IN",$E227*_xlfn.XLOOKUP($C227,'Item Master'!$A$4:$A$53,'Item Master'!$D$4:$D$53,0),$E227*_xlfn.XLOOKUP($C227,'Item Master'!$A$4:$A$53,'Item Master'!$E$4:$E$53,0)))</f>
        <v/>
      </c>
      <c r="G227" s="48">
        <f>IF($B227="","",IF($D227="OUT",$B227&amp;"|"&amp;COUNTIFS($B$4:$B227,$B227,$D$4:$D227,"OUT"),""))</f>
        <v/>
      </c>
    </row>
    <row r="228" ht="32" customHeight="1">
      <c r="A228" s="43" t="n"/>
      <c r="B228" s="44" t="n"/>
      <c r="C228" s="44" t="n"/>
      <c r="D228" s="45" t="n"/>
      <c r="E228" s="46" t="n"/>
      <c r="F228" s="47">
        <f>IF($C228="","",IF($D228="IN",$E228*_xlfn.XLOOKUP($C228,'Item Master'!$A$4:$A$53,'Item Master'!$D$4:$D$53,0),$E228*_xlfn.XLOOKUP($C228,'Item Master'!$A$4:$A$53,'Item Master'!$E$4:$E$53,0)))</f>
        <v/>
      </c>
      <c r="G228" s="48">
        <f>IF($B228="","",IF($D228="OUT",$B228&amp;"|"&amp;COUNTIFS($B$4:$B228,$B228,$D$4:$D228,"OUT"),""))</f>
        <v/>
      </c>
    </row>
    <row r="229" ht="32" customHeight="1">
      <c r="A229" s="43" t="n"/>
      <c r="B229" s="44" t="n"/>
      <c r="C229" s="44" t="n"/>
      <c r="D229" s="45" t="n"/>
      <c r="E229" s="46" t="n"/>
      <c r="F229" s="47">
        <f>IF($C229="","",IF($D229="IN",$E229*_xlfn.XLOOKUP($C229,'Item Master'!$A$4:$A$53,'Item Master'!$D$4:$D$53,0),$E229*_xlfn.XLOOKUP($C229,'Item Master'!$A$4:$A$53,'Item Master'!$E$4:$E$53,0)))</f>
        <v/>
      </c>
      <c r="G229" s="48">
        <f>IF($B229="","",IF($D229="OUT",$B229&amp;"|"&amp;COUNTIFS($B$4:$B229,$B229,$D$4:$D229,"OUT"),""))</f>
        <v/>
      </c>
    </row>
    <row r="230" ht="32" customHeight="1">
      <c r="A230" s="43" t="n"/>
      <c r="B230" s="44" t="n"/>
      <c r="C230" s="44" t="n"/>
      <c r="D230" s="45" t="n"/>
      <c r="E230" s="46" t="n"/>
      <c r="F230" s="47">
        <f>IF($C230="","",IF($D230="IN",$E230*_xlfn.XLOOKUP($C230,'Item Master'!$A$4:$A$53,'Item Master'!$D$4:$D$53,0),$E230*_xlfn.XLOOKUP($C230,'Item Master'!$A$4:$A$53,'Item Master'!$E$4:$E$53,0)))</f>
        <v/>
      </c>
      <c r="G230" s="48">
        <f>IF($B230="","",IF($D230="OUT",$B230&amp;"|"&amp;COUNTIFS($B$4:$B230,$B230,$D$4:$D230,"OUT"),""))</f>
        <v/>
      </c>
    </row>
    <row r="231" ht="32" customHeight="1">
      <c r="A231" s="43" t="n"/>
      <c r="B231" s="44" t="n"/>
      <c r="C231" s="44" t="n"/>
      <c r="D231" s="45" t="n"/>
      <c r="E231" s="46" t="n"/>
      <c r="F231" s="47">
        <f>IF($C231="","",IF($D231="IN",$E231*_xlfn.XLOOKUP($C231,'Item Master'!$A$4:$A$53,'Item Master'!$D$4:$D$53,0),$E231*_xlfn.XLOOKUP($C231,'Item Master'!$A$4:$A$53,'Item Master'!$E$4:$E$53,0)))</f>
        <v/>
      </c>
      <c r="G231" s="48">
        <f>IF($B231="","",IF($D231="OUT",$B231&amp;"|"&amp;COUNTIFS($B$4:$B231,$B231,$D$4:$D231,"OUT"),""))</f>
        <v/>
      </c>
    </row>
    <row r="232" ht="32" customHeight="1">
      <c r="A232" s="43" t="n"/>
      <c r="B232" s="44" t="n"/>
      <c r="C232" s="44" t="n"/>
      <c r="D232" s="45" t="n"/>
      <c r="E232" s="46" t="n"/>
      <c r="F232" s="47">
        <f>IF($C232="","",IF($D232="IN",$E232*_xlfn.XLOOKUP($C232,'Item Master'!$A$4:$A$53,'Item Master'!$D$4:$D$53,0),$E232*_xlfn.XLOOKUP($C232,'Item Master'!$A$4:$A$53,'Item Master'!$E$4:$E$53,0)))</f>
        <v/>
      </c>
      <c r="G232" s="48">
        <f>IF($B232="","",IF($D232="OUT",$B232&amp;"|"&amp;COUNTIFS($B$4:$B232,$B232,$D$4:$D232,"OUT"),""))</f>
        <v/>
      </c>
    </row>
    <row r="233" ht="32" customHeight="1">
      <c r="A233" s="43" t="n"/>
      <c r="B233" s="44" t="n"/>
      <c r="C233" s="44" t="n"/>
      <c r="D233" s="45" t="n"/>
      <c r="E233" s="46" t="n"/>
      <c r="F233" s="47">
        <f>IF($C233="","",IF($D233="IN",$E233*_xlfn.XLOOKUP($C233,'Item Master'!$A$4:$A$53,'Item Master'!$D$4:$D$53,0),$E233*_xlfn.XLOOKUP($C233,'Item Master'!$A$4:$A$53,'Item Master'!$E$4:$E$53,0)))</f>
        <v/>
      </c>
      <c r="G233" s="48">
        <f>IF($B233="","",IF($D233="OUT",$B233&amp;"|"&amp;COUNTIFS($B$4:$B233,$B233,$D$4:$D233,"OUT"),""))</f>
        <v/>
      </c>
    </row>
    <row r="234" ht="32" customHeight="1">
      <c r="A234" s="43" t="n"/>
      <c r="B234" s="44" t="n"/>
      <c r="C234" s="44" t="n"/>
      <c r="D234" s="45" t="n"/>
      <c r="E234" s="46" t="n"/>
      <c r="F234" s="47">
        <f>IF($C234="","",IF($D234="IN",$E234*_xlfn.XLOOKUP($C234,'Item Master'!$A$4:$A$53,'Item Master'!$D$4:$D$53,0),$E234*_xlfn.XLOOKUP($C234,'Item Master'!$A$4:$A$53,'Item Master'!$E$4:$E$53,0)))</f>
        <v/>
      </c>
      <c r="G234" s="48">
        <f>IF($B234="","",IF($D234="OUT",$B234&amp;"|"&amp;COUNTIFS($B$4:$B234,$B234,$D$4:$D234,"OUT"),""))</f>
        <v/>
      </c>
    </row>
    <row r="235" ht="32" customHeight="1">
      <c r="A235" s="43" t="n"/>
      <c r="B235" s="44" t="n"/>
      <c r="C235" s="44" t="n"/>
      <c r="D235" s="45" t="n"/>
      <c r="E235" s="46" t="n"/>
      <c r="F235" s="47">
        <f>IF($C235="","",IF($D235="IN",$E235*_xlfn.XLOOKUP($C235,'Item Master'!$A$4:$A$53,'Item Master'!$D$4:$D$53,0),$E235*_xlfn.XLOOKUP($C235,'Item Master'!$A$4:$A$53,'Item Master'!$E$4:$E$53,0)))</f>
        <v/>
      </c>
      <c r="G235" s="48">
        <f>IF($B235="","",IF($D235="OUT",$B235&amp;"|"&amp;COUNTIFS($B$4:$B235,$B235,$D$4:$D235,"OUT"),""))</f>
        <v/>
      </c>
    </row>
    <row r="236" ht="32" customHeight="1">
      <c r="A236" s="43" t="n"/>
      <c r="B236" s="44" t="n"/>
      <c r="C236" s="44" t="n"/>
      <c r="D236" s="45" t="n"/>
      <c r="E236" s="46" t="n"/>
      <c r="F236" s="47">
        <f>IF($C236="","",IF($D236="IN",$E236*_xlfn.XLOOKUP($C236,'Item Master'!$A$4:$A$53,'Item Master'!$D$4:$D$53,0),$E236*_xlfn.XLOOKUP($C236,'Item Master'!$A$4:$A$53,'Item Master'!$E$4:$E$53,0)))</f>
        <v/>
      </c>
      <c r="G236" s="48">
        <f>IF($B236="","",IF($D236="OUT",$B236&amp;"|"&amp;COUNTIFS($B$4:$B236,$B236,$D$4:$D236,"OUT"),""))</f>
        <v/>
      </c>
    </row>
    <row r="237" ht="32" customHeight="1">
      <c r="A237" s="43" t="n"/>
      <c r="B237" s="44" t="n"/>
      <c r="C237" s="44" t="n"/>
      <c r="D237" s="45" t="n"/>
      <c r="E237" s="46" t="n"/>
      <c r="F237" s="47">
        <f>IF($C237="","",IF($D237="IN",$E237*_xlfn.XLOOKUP($C237,'Item Master'!$A$4:$A$53,'Item Master'!$D$4:$D$53,0),$E237*_xlfn.XLOOKUP($C237,'Item Master'!$A$4:$A$53,'Item Master'!$E$4:$E$53,0)))</f>
        <v/>
      </c>
      <c r="G237" s="48">
        <f>IF($B237="","",IF($D237="OUT",$B237&amp;"|"&amp;COUNTIFS($B$4:$B237,$B237,$D$4:$D237,"OUT"),""))</f>
        <v/>
      </c>
    </row>
    <row r="238" ht="32" customHeight="1">
      <c r="A238" s="43" t="n"/>
      <c r="B238" s="44" t="n"/>
      <c r="C238" s="44" t="n"/>
      <c r="D238" s="45" t="n"/>
      <c r="E238" s="46" t="n"/>
      <c r="F238" s="47">
        <f>IF($C238="","",IF($D238="IN",$E238*_xlfn.XLOOKUP($C238,'Item Master'!$A$4:$A$53,'Item Master'!$D$4:$D$53,0),$E238*_xlfn.XLOOKUP($C238,'Item Master'!$A$4:$A$53,'Item Master'!$E$4:$E$53,0)))</f>
        <v/>
      </c>
      <c r="G238" s="48">
        <f>IF($B238="","",IF($D238="OUT",$B238&amp;"|"&amp;COUNTIFS($B$4:$B238,$B238,$D$4:$D238,"OUT"),""))</f>
        <v/>
      </c>
    </row>
    <row r="239" ht="32" customHeight="1">
      <c r="A239" s="43" t="n"/>
      <c r="B239" s="44" t="n"/>
      <c r="C239" s="44" t="n"/>
      <c r="D239" s="45" t="n"/>
      <c r="E239" s="46" t="n"/>
      <c r="F239" s="47">
        <f>IF($C239="","",IF($D239="IN",$E239*_xlfn.XLOOKUP($C239,'Item Master'!$A$4:$A$53,'Item Master'!$D$4:$D$53,0),$E239*_xlfn.XLOOKUP($C239,'Item Master'!$A$4:$A$53,'Item Master'!$E$4:$E$53,0)))</f>
        <v/>
      </c>
      <c r="G239" s="48">
        <f>IF($B239="","",IF($D239="OUT",$B239&amp;"|"&amp;COUNTIFS($B$4:$B239,$B239,$D$4:$D239,"OUT"),""))</f>
        <v/>
      </c>
    </row>
    <row r="240" ht="32" customHeight="1">
      <c r="A240" s="43" t="n"/>
      <c r="B240" s="44" t="n"/>
      <c r="C240" s="44" t="n"/>
      <c r="D240" s="45" t="n"/>
      <c r="E240" s="46" t="n"/>
      <c r="F240" s="47">
        <f>IF($C240="","",IF($D240="IN",$E240*_xlfn.XLOOKUP($C240,'Item Master'!$A$4:$A$53,'Item Master'!$D$4:$D$53,0),$E240*_xlfn.XLOOKUP($C240,'Item Master'!$A$4:$A$53,'Item Master'!$E$4:$E$53,0)))</f>
        <v/>
      </c>
      <c r="G240" s="48">
        <f>IF($B240="","",IF($D240="OUT",$B240&amp;"|"&amp;COUNTIFS($B$4:$B240,$B240,$D$4:$D240,"OUT"),""))</f>
        <v/>
      </c>
    </row>
    <row r="241" ht="32" customHeight="1">
      <c r="A241" s="43" t="n"/>
      <c r="B241" s="44" t="n"/>
      <c r="C241" s="44" t="n"/>
      <c r="D241" s="45" t="n"/>
      <c r="E241" s="46" t="n"/>
      <c r="F241" s="47">
        <f>IF($C241="","",IF($D241="IN",$E241*_xlfn.XLOOKUP($C241,'Item Master'!$A$4:$A$53,'Item Master'!$D$4:$D$53,0),$E241*_xlfn.XLOOKUP($C241,'Item Master'!$A$4:$A$53,'Item Master'!$E$4:$E$53,0)))</f>
        <v/>
      </c>
      <c r="G241" s="48">
        <f>IF($B241="","",IF($D241="OUT",$B241&amp;"|"&amp;COUNTIFS($B$4:$B241,$B241,$D$4:$D241,"OUT"),""))</f>
        <v/>
      </c>
    </row>
    <row r="242" ht="32" customHeight="1">
      <c r="A242" s="43" t="n"/>
      <c r="B242" s="44" t="n"/>
      <c r="C242" s="44" t="n"/>
      <c r="D242" s="45" t="n"/>
      <c r="E242" s="46" t="n"/>
      <c r="F242" s="47">
        <f>IF($C242="","",IF($D242="IN",$E242*_xlfn.XLOOKUP($C242,'Item Master'!$A$4:$A$53,'Item Master'!$D$4:$D$53,0),$E242*_xlfn.XLOOKUP($C242,'Item Master'!$A$4:$A$53,'Item Master'!$E$4:$E$53,0)))</f>
        <v/>
      </c>
      <c r="G242" s="48">
        <f>IF($B242="","",IF($D242="OUT",$B242&amp;"|"&amp;COUNTIFS($B$4:$B242,$B242,$D$4:$D242,"OUT"),""))</f>
        <v/>
      </c>
    </row>
    <row r="243" ht="32" customHeight="1">
      <c r="A243" s="43" t="n"/>
      <c r="B243" s="44" t="n"/>
      <c r="C243" s="44" t="n"/>
      <c r="D243" s="45" t="n"/>
      <c r="E243" s="46" t="n"/>
      <c r="F243" s="47">
        <f>IF($C243="","",IF($D243="IN",$E243*_xlfn.XLOOKUP($C243,'Item Master'!$A$4:$A$53,'Item Master'!$D$4:$D$53,0),$E243*_xlfn.XLOOKUP($C243,'Item Master'!$A$4:$A$53,'Item Master'!$E$4:$E$53,0)))</f>
        <v/>
      </c>
      <c r="G243" s="48">
        <f>IF($B243="","",IF($D243="OUT",$B243&amp;"|"&amp;COUNTIFS($B$4:$B243,$B243,$D$4:$D243,"OUT"),""))</f>
        <v/>
      </c>
    </row>
    <row r="244" ht="32" customHeight="1">
      <c r="A244" s="43" t="n"/>
      <c r="B244" s="44" t="n"/>
      <c r="C244" s="44" t="n"/>
      <c r="D244" s="45" t="n"/>
      <c r="E244" s="46" t="n"/>
      <c r="F244" s="47">
        <f>IF($C244="","",IF($D244="IN",$E244*_xlfn.XLOOKUP($C244,'Item Master'!$A$4:$A$53,'Item Master'!$D$4:$D$53,0),$E244*_xlfn.XLOOKUP($C244,'Item Master'!$A$4:$A$53,'Item Master'!$E$4:$E$53,0)))</f>
        <v/>
      </c>
      <c r="G244" s="48">
        <f>IF($B244="","",IF($D244="OUT",$B244&amp;"|"&amp;COUNTIFS($B$4:$B244,$B244,$D$4:$D244,"OUT"),""))</f>
        <v/>
      </c>
    </row>
    <row r="245" ht="32" customHeight="1">
      <c r="A245" s="43" t="n"/>
      <c r="B245" s="44" t="n"/>
      <c r="C245" s="44" t="n"/>
      <c r="D245" s="45" t="n"/>
      <c r="E245" s="46" t="n"/>
      <c r="F245" s="47">
        <f>IF($C245="","",IF($D245="IN",$E245*_xlfn.XLOOKUP($C245,'Item Master'!$A$4:$A$53,'Item Master'!$D$4:$D$53,0),$E245*_xlfn.XLOOKUP($C245,'Item Master'!$A$4:$A$53,'Item Master'!$E$4:$E$53,0)))</f>
        <v/>
      </c>
      <c r="G245" s="48">
        <f>IF($B245="","",IF($D245="OUT",$B245&amp;"|"&amp;COUNTIFS($B$4:$B245,$B245,$D$4:$D245,"OUT"),""))</f>
        <v/>
      </c>
    </row>
    <row r="246" ht="32" customHeight="1">
      <c r="A246" s="43" t="n"/>
      <c r="B246" s="44" t="n"/>
      <c r="C246" s="44" t="n"/>
      <c r="D246" s="45" t="n"/>
      <c r="E246" s="46" t="n"/>
      <c r="F246" s="47">
        <f>IF($C246="","",IF($D246="IN",$E246*_xlfn.XLOOKUP($C246,'Item Master'!$A$4:$A$53,'Item Master'!$D$4:$D$53,0),$E246*_xlfn.XLOOKUP($C246,'Item Master'!$A$4:$A$53,'Item Master'!$E$4:$E$53,0)))</f>
        <v/>
      </c>
      <c r="G246" s="48">
        <f>IF($B246="","",IF($D246="OUT",$B246&amp;"|"&amp;COUNTIFS($B$4:$B246,$B246,$D$4:$D246,"OUT"),""))</f>
        <v/>
      </c>
    </row>
    <row r="247" ht="32" customHeight="1">
      <c r="A247" s="43" t="n"/>
      <c r="B247" s="44" t="n"/>
      <c r="C247" s="44" t="n"/>
      <c r="D247" s="45" t="n"/>
      <c r="E247" s="46" t="n"/>
      <c r="F247" s="47">
        <f>IF($C247="","",IF($D247="IN",$E247*_xlfn.XLOOKUP($C247,'Item Master'!$A$4:$A$53,'Item Master'!$D$4:$D$53,0),$E247*_xlfn.XLOOKUP($C247,'Item Master'!$A$4:$A$53,'Item Master'!$E$4:$E$53,0)))</f>
        <v/>
      </c>
      <c r="G247" s="48">
        <f>IF($B247="","",IF($D247="OUT",$B247&amp;"|"&amp;COUNTIFS($B$4:$B247,$B247,$D$4:$D247,"OUT"),""))</f>
        <v/>
      </c>
    </row>
    <row r="248" ht="32" customHeight="1">
      <c r="A248" s="43" t="n"/>
      <c r="B248" s="44" t="n"/>
      <c r="C248" s="44" t="n"/>
      <c r="D248" s="45" t="n"/>
      <c r="E248" s="46" t="n"/>
      <c r="F248" s="47">
        <f>IF($C248="","",IF($D248="IN",$E248*_xlfn.XLOOKUP($C248,'Item Master'!$A$4:$A$53,'Item Master'!$D$4:$D$53,0),$E248*_xlfn.XLOOKUP($C248,'Item Master'!$A$4:$A$53,'Item Master'!$E$4:$E$53,0)))</f>
        <v/>
      </c>
      <c r="G248" s="48">
        <f>IF($B248="","",IF($D248="OUT",$B248&amp;"|"&amp;COUNTIFS($B$4:$B248,$B248,$D$4:$D248,"OUT"),""))</f>
        <v/>
      </c>
    </row>
    <row r="249" ht="32" customHeight="1">
      <c r="A249" s="43" t="n"/>
      <c r="B249" s="44" t="n"/>
      <c r="C249" s="44" t="n"/>
      <c r="D249" s="45" t="n"/>
      <c r="E249" s="46" t="n"/>
      <c r="F249" s="47">
        <f>IF($C249="","",IF($D249="IN",$E249*_xlfn.XLOOKUP($C249,'Item Master'!$A$4:$A$53,'Item Master'!$D$4:$D$53,0),$E249*_xlfn.XLOOKUP($C249,'Item Master'!$A$4:$A$53,'Item Master'!$E$4:$E$53,0)))</f>
        <v/>
      </c>
      <c r="G249" s="48">
        <f>IF($B249="","",IF($D249="OUT",$B249&amp;"|"&amp;COUNTIFS($B$4:$B249,$B249,$D$4:$D249,"OUT"),""))</f>
        <v/>
      </c>
    </row>
    <row r="250" ht="32" customHeight="1">
      <c r="A250" s="43" t="n"/>
      <c r="B250" s="44" t="n"/>
      <c r="C250" s="44" t="n"/>
      <c r="D250" s="45" t="n"/>
      <c r="E250" s="46" t="n"/>
      <c r="F250" s="47">
        <f>IF($C250="","",IF($D250="IN",$E250*_xlfn.XLOOKUP($C250,'Item Master'!$A$4:$A$53,'Item Master'!$D$4:$D$53,0),$E250*_xlfn.XLOOKUP($C250,'Item Master'!$A$4:$A$53,'Item Master'!$E$4:$E$53,0)))</f>
        <v/>
      </c>
      <c r="G250" s="48">
        <f>IF($B250="","",IF($D250="OUT",$B250&amp;"|"&amp;COUNTIFS($B$4:$B250,$B250,$D$4:$D250,"OUT"),""))</f>
        <v/>
      </c>
    </row>
    <row r="251" ht="32" customHeight="1">
      <c r="A251" s="43" t="n"/>
      <c r="B251" s="44" t="n"/>
      <c r="C251" s="44" t="n"/>
      <c r="D251" s="45" t="n"/>
      <c r="E251" s="46" t="n"/>
      <c r="F251" s="47">
        <f>IF($C251="","",IF($D251="IN",$E251*_xlfn.XLOOKUP($C251,'Item Master'!$A$4:$A$53,'Item Master'!$D$4:$D$53,0),$E251*_xlfn.XLOOKUP($C251,'Item Master'!$A$4:$A$53,'Item Master'!$E$4:$E$53,0)))</f>
        <v/>
      </c>
      <c r="G251" s="48">
        <f>IF($B251="","",IF($D251="OUT",$B251&amp;"|"&amp;COUNTIFS($B$4:$B251,$B251,$D$4:$D251,"OUT"),""))</f>
        <v/>
      </c>
    </row>
    <row r="252" ht="32" customHeight="1">
      <c r="A252" s="43" t="n"/>
      <c r="B252" s="44" t="n"/>
      <c r="C252" s="44" t="n"/>
      <c r="D252" s="45" t="n"/>
      <c r="E252" s="46" t="n"/>
      <c r="F252" s="47">
        <f>IF($C252="","",IF($D252="IN",$E252*_xlfn.XLOOKUP($C252,'Item Master'!$A$4:$A$53,'Item Master'!$D$4:$D$53,0),$E252*_xlfn.XLOOKUP($C252,'Item Master'!$A$4:$A$53,'Item Master'!$E$4:$E$53,0)))</f>
        <v/>
      </c>
      <c r="G252" s="48">
        <f>IF($B252="","",IF($D252="OUT",$B252&amp;"|"&amp;COUNTIFS($B$4:$B252,$B252,$D$4:$D252,"OUT"),""))</f>
        <v/>
      </c>
    </row>
    <row r="253" ht="32" customHeight="1">
      <c r="A253" s="43" t="n"/>
      <c r="B253" s="44" t="n"/>
      <c r="C253" s="44" t="n"/>
      <c r="D253" s="45" t="n"/>
      <c r="E253" s="46" t="n"/>
      <c r="F253" s="47">
        <f>IF($C253="","",IF($D253="IN",$E253*_xlfn.XLOOKUP($C253,'Item Master'!$A$4:$A$53,'Item Master'!$D$4:$D$53,0),$E253*_xlfn.XLOOKUP($C253,'Item Master'!$A$4:$A$53,'Item Master'!$E$4:$E$53,0)))</f>
        <v/>
      </c>
      <c r="G253" s="48">
        <f>IF($B253="","",IF($D253="OUT",$B253&amp;"|"&amp;COUNTIFS($B$4:$B253,$B253,$D$4:$D253,"OUT"),""))</f>
        <v/>
      </c>
    </row>
    <row r="254" ht="32" customHeight="1">
      <c r="A254" s="43" t="n"/>
      <c r="B254" s="44" t="n"/>
      <c r="C254" s="44" t="n"/>
      <c r="D254" s="45" t="n"/>
      <c r="E254" s="46" t="n"/>
      <c r="F254" s="47">
        <f>IF($C254="","",IF($D254="IN",$E254*_xlfn.XLOOKUP($C254,'Item Master'!$A$4:$A$53,'Item Master'!$D$4:$D$53,0),$E254*_xlfn.XLOOKUP($C254,'Item Master'!$A$4:$A$53,'Item Master'!$E$4:$E$53,0)))</f>
        <v/>
      </c>
      <c r="G254" s="48">
        <f>IF($B254="","",IF($D254="OUT",$B254&amp;"|"&amp;COUNTIFS($B$4:$B254,$B254,$D$4:$D254,"OUT"),""))</f>
        <v/>
      </c>
    </row>
    <row r="255" ht="32" customHeight="1">
      <c r="A255" s="43" t="n"/>
      <c r="B255" s="44" t="n"/>
      <c r="C255" s="44" t="n"/>
      <c r="D255" s="45" t="n"/>
      <c r="E255" s="46" t="n"/>
      <c r="F255" s="47">
        <f>IF($C255="","",IF($D255="IN",$E255*_xlfn.XLOOKUP($C255,'Item Master'!$A$4:$A$53,'Item Master'!$D$4:$D$53,0),$E255*_xlfn.XLOOKUP($C255,'Item Master'!$A$4:$A$53,'Item Master'!$E$4:$E$53,0)))</f>
        <v/>
      </c>
      <c r="G255" s="48">
        <f>IF($B255="","",IF($D255="OUT",$B255&amp;"|"&amp;COUNTIFS($B$4:$B255,$B255,$D$4:$D255,"OUT"),""))</f>
        <v/>
      </c>
    </row>
    <row r="256" ht="32" customHeight="1">
      <c r="A256" s="43" t="n"/>
      <c r="B256" s="44" t="n"/>
      <c r="C256" s="44" t="n"/>
      <c r="D256" s="45" t="n"/>
      <c r="E256" s="46" t="n"/>
      <c r="F256" s="47">
        <f>IF($C256="","",IF($D256="IN",$E256*_xlfn.XLOOKUP($C256,'Item Master'!$A$4:$A$53,'Item Master'!$D$4:$D$53,0),$E256*_xlfn.XLOOKUP($C256,'Item Master'!$A$4:$A$53,'Item Master'!$E$4:$E$53,0)))</f>
        <v/>
      </c>
      <c r="G256" s="48">
        <f>IF($B256="","",IF($D256="OUT",$B256&amp;"|"&amp;COUNTIFS($B$4:$B256,$B256,$D$4:$D256,"OUT"),""))</f>
        <v/>
      </c>
    </row>
    <row r="257" ht="32" customHeight="1">
      <c r="A257" s="43" t="n"/>
      <c r="B257" s="44" t="n"/>
      <c r="C257" s="44" t="n"/>
      <c r="D257" s="45" t="n"/>
      <c r="E257" s="46" t="n"/>
      <c r="F257" s="47">
        <f>IF($C257="","",IF($D257="IN",$E257*_xlfn.XLOOKUP($C257,'Item Master'!$A$4:$A$53,'Item Master'!$D$4:$D$53,0),$E257*_xlfn.XLOOKUP($C257,'Item Master'!$A$4:$A$53,'Item Master'!$E$4:$E$53,0)))</f>
        <v/>
      </c>
      <c r="G257" s="48">
        <f>IF($B257="","",IF($D257="OUT",$B257&amp;"|"&amp;COUNTIFS($B$4:$B257,$B257,$D$4:$D257,"OUT"),""))</f>
        <v/>
      </c>
    </row>
    <row r="258" ht="32" customHeight="1">
      <c r="A258" s="43" t="n"/>
      <c r="B258" s="44" t="n"/>
      <c r="C258" s="44" t="n"/>
      <c r="D258" s="45" t="n"/>
      <c r="E258" s="46" t="n"/>
      <c r="F258" s="47">
        <f>IF($C258="","",IF($D258="IN",$E258*_xlfn.XLOOKUP($C258,'Item Master'!$A$4:$A$53,'Item Master'!$D$4:$D$53,0),$E258*_xlfn.XLOOKUP($C258,'Item Master'!$A$4:$A$53,'Item Master'!$E$4:$E$53,0)))</f>
        <v/>
      </c>
      <c r="G258" s="48">
        <f>IF($B258="","",IF($D258="OUT",$B258&amp;"|"&amp;COUNTIFS($B$4:$B258,$B258,$D$4:$D258,"OUT"),""))</f>
        <v/>
      </c>
    </row>
    <row r="259" ht="32" customHeight="1">
      <c r="A259" s="43" t="n"/>
      <c r="B259" s="44" t="n"/>
      <c r="C259" s="44" t="n"/>
      <c r="D259" s="45" t="n"/>
      <c r="E259" s="46" t="n"/>
      <c r="F259" s="47">
        <f>IF($C259="","",IF($D259="IN",$E259*_xlfn.XLOOKUP($C259,'Item Master'!$A$4:$A$53,'Item Master'!$D$4:$D$53,0),$E259*_xlfn.XLOOKUP($C259,'Item Master'!$A$4:$A$53,'Item Master'!$E$4:$E$53,0)))</f>
        <v/>
      </c>
      <c r="G259" s="48">
        <f>IF($B259="","",IF($D259="OUT",$B259&amp;"|"&amp;COUNTIFS($B$4:$B259,$B259,$D$4:$D259,"OUT"),""))</f>
        <v/>
      </c>
    </row>
    <row r="260" ht="32" customHeight="1">
      <c r="A260" s="43" t="n"/>
      <c r="B260" s="44" t="n"/>
      <c r="C260" s="44" t="n"/>
      <c r="D260" s="45" t="n"/>
      <c r="E260" s="46" t="n"/>
      <c r="F260" s="47">
        <f>IF($C260="","",IF($D260="IN",$E260*_xlfn.XLOOKUP($C260,'Item Master'!$A$4:$A$53,'Item Master'!$D$4:$D$53,0),$E260*_xlfn.XLOOKUP($C260,'Item Master'!$A$4:$A$53,'Item Master'!$E$4:$E$53,0)))</f>
        <v/>
      </c>
      <c r="G260" s="48">
        <f>IF($B260="","",IF($D260="OUT",$B260&amp;"|"&amp;COUNTIFS($B$4:$B260,$B260,$D$4:$D260,"OUT"),""))</f>
        <v/>
      </c>
    </row>
    <row r="261" ht="32" customHeight="1">
      <c r="A261" s="43" t="n"/>
      <c r="B261" s="44" t="n"/>
      <c r="C261" s="44" t="n"/>
      <c r="D261" s="45" t="n"/>
      <c r="E261" s="46" t="n"/>
      <c r="F261" s="47">
        <f>IF($C261="","",IF($D261="IN",$E261*_xlfn.XLOOKUP($C261,'Item Master'!$A$4:$A$53,'Item Master'!$D$4:$D$53,0),$E261*_xlfn.XLOOKUP($C261,'Item Master'!$A$4:$A$53,'Item Master'!$E$4:$E$53,0)))</f>
        <v/>
      </c>
      <c r="G261" s="48">
        <f>IF($B261="","",IF($D261="OUT",$B261&amp;"|"&amp;COUNTIFS($B$4:$B261,$B261,$D$4:$D261,"OUT"),""))</f>
        <v/>
      </c>
    </row>
    <row r="262" ht="32" customHeight="1">
      <c r="A262" s="43" t="n"/>
      <c r="B262" s="44" t="n"/>
      <c r="C262" s="44" t="n"/>
      <c r="D262" s="45" t="n"/>
      <c r="E262" s="46" t="n"/>
      <c r="F262" s="47">
        <f>IF($C262="","",IF($D262="IN",$E262*_xlfn.XLOOKUP($C262,'Item Master'!$A$4:$A$53,'Item Master'!$D$4:$D$53,0),$E262*_xlfn.XLOOKUP($C262,'Item Master'!$A$4:$A$53,'Item Master'!$E$4:$E$53,0)))</f>
        <v/>
      </c>
      <c r="G262" s="48">
        <f>IF($B262="","",IF($D262="OUT",$B262&amp;"|"&amp;COUNTIFS($B$4:$B262,$B262,$D$4:$D262,"OUT"),""))</f>
        <v/>
      </c>
    </row>
    <row r="263" ht="32" customHeight="1">
      <c r="A263" s="43" t="n"/>
      <c r="B263" s="44" t="n"/>
      <c r="C263" s="44" t="n"/>
      <c r="D263" s="45" t="n"/>
      <c r="E263" s="46" t="n"/>
      <c r="F263" s="47">
        <f>IF($C263="","",IF($D263="IN",$E263*_xlfn.XLOOKUP($C263,'Item Master'!$A$4:$A$53,'Item Master'!$D$4:$D$53,0),$E263*_xlfn.XLOOKUP($C263,'Item Master'!$A$4:$A$53,'Item Master'!$E$4:$E$53,0)))</f>
        <v/>
      </c>
      <c r="G263" s="48">
        <f>IF($B263="","",IF($D263="OUT",$B263&amp;"|"&amp;COUNTIFS($B$4:$B263,$B263,$D$4:$D263,"OUT"),""))</f>
        <v/>
      </c>
    </row>
    <row r="264" ht="32" customHeight="1">
      <c r="A264" s="43" t="n"/>
      <c r="B264" s="44" t="n"/>
      <c r="C264" s="44" t="n"/>
      <c r="D264" s="45" t="n"/>
      <c r="E264" s="46" t="n"/>
      <c r="F264" s="47">
        <f>IF($C264="","",IF($D264="IN",$E264*_xlfn.XLOOKUP($C264,'Item Master'!$A$4:$A$53,'Item Master'!$D$4:$D$53,0),$E264*_xlfn.XLOOKUP($C264,'Item Master'!$A$4:$A$53,'Item Master'!$E$4:$E$53,0)))</f>
        <v/>
      </c>
      <c r="G264" s="48">
        <f>IF($B264="","",IF($D264="OUT",$B264&amp;"|"&amp;COUNTIFS($B$4:$B264,$B264,$D$4:$D264,"OUT"),""))</f>
        <v/>
      </c>
    </row>
    <row r="265" ht="32" customHeight="1">
      <c r="A265" s="43" t="n"/>
      <c r="B265" s="44" t="n"/>
      <c r="C265" s="44" t="n"/>
      <c r="D265" s="45" t="n"/>
      <c r="E265" s="46" t="n"/>
      <c r="F265" s="47">
        <f>IF($C265="","",IF($D265="IN",$E265*_xlfn.XLOOKUP($C265,'Item Master'!$A$4:$A$53,'Item Master'!$D$4:$D$53,0),$E265*_xlfn.XLOOKUP($C265,'Item Master'!$A$4:$A$53,'Item Master'!$E$4:$E$53,0)))</f>
        <v/>
      </c>
      <c r="G265" s="48">
        <f>IF($B265="","",IF($D265="OUT",$B265&amp;"|"&amp;COUNTIFS($B$4:$B265,$B265,$D$4:$D265,"OUT"),""))</f>
        <v/>
      </c>
    </row>
    <row r="266" ht="32" customHeight="1">
      <c r="A266" s="43" t="n"/>
      <c r="B266" s="44" t="n"/>
      <c r="C266" s="44" t="n"/>
      <c r="D266" s="45" t="n"/>
      <c r="E266" s="46" t="n"/>
      <c r="F266" s="47">
        <f>IF($C266="","",IF($D266="IN",$E266*_xlfn.XLOOKUP($C266,'Item Master'!$A$4:$A$53,'Item Master'!$D$4:$D$53,0),$E266*_xlfn.XLOOKUP($C266,'Item Master'!$A$4:$A$53,'Item Master'!$E$4:$E$53,0)))</f>
        <v/>
      </c>
      <c r="G266" s="48">
        <f>IF($B266="","",IF($D266="OUT",$B266&amp;"|"&amp;COUNTIFS($B$4:$B266,$B266,$D$4:$D266,"OUT"),""))</f>
        <v/>
      </c>
    </row>
    <row r="267" ht="32" customHeight="1">
      <c r="A267" s="43" t="n"/>
      <c r="B267" s="44" t="n"/>
      <c r="C267" s="44" t="n"/>
      <c r="D267" s="45" t="n"/>
      <c r="E267" s="46" t="n"/>
      <c r="F267" s="47">
        <f>IF($C267="","",IF($D267="IN",$E267*_xlfn.XLOOKUP($C267,'Item Master'!$A$4:$A$53,'Item Master'!$D$4:$D$53,0),$E267*_xlfn.XLOOKUP($C267,'Item Master'!$A$4:$A$53,'Item Master'!$E$4:$E$53,0)))</f>
        <v/>
      </c>
      <c r="G267" s="48">
        <f>IF($B267="","",IF($D267="OUT",$B267&amp;"|"&amp;COUNTIFS($B$4:$B267,$B267,$D$4:$D267,"OUT"),""))</f>
        <v/>
      </c>
    </row>
    <row r="268" ht="32" customHeight="1">
      <c r="A268" s="43" t="n"/>
      <c r="B268" s="44" t="n"/>
      <c r="C268" s="44" t="n"/>
      <c r="D268" s="45" t="n"/>
      <c r="E268" s="46" t="n"/>
      <c r="F268" s="47">
        <f>IF($C268="","",IF($D268="IN",$E268*_xlfn.XLOOKUP($C268,'Item Master'!$A$4:$A$53,'Item Master'!$D$4:$D$53,0),$E268*_xlfn.XLOOKUP($C268,'Item Master'!$A$4:$A$53,'Item Master'!$E$4:$E$53,0)))</f>
        <v/>
      </c>
      <c r="G268" s="48">
        <f>IF($B268="","",IF($D268="OUT",$B268&amp;"|"&amp;COUNTIFS($B$4:$B268,$B268,$D$4:$D268,"OUT"),""))</f>
        <v/>
      </c>
    </row>
    <row r="269" ht="32" customHeight="1">
      <c r="A269" s="43" t="n"/>
      <c r="B269" s="44" t="n"/>
      <c r="C269" s="44" t="n"/>
      <c r="D269" s="45" t="n"/>
      <c r="E269" s="46" t="n"/>
      <c r="F269" s="47">
        <f>IF($C269="","",IF($D269="IN",$E269*_xlfn.XLOOKUP($C269,'Item Master'!$A$4:$A$53,'Item Master'!$D$4:$D$53,0),$E269*_xlfn.XLOOKUP($C269,'Item Master'!$A$4:$A$53,'Item Master'!$E$4:$E$53,0)))</f>
        <v/>
      </c>
      <c r="G269" s="48">
        <f>IF($B269="","",IF($D269="OUT",$B269&amp;"|"&amp;COUNTIFS($B$4:$B269,$B269,$D$4:$D269,"OUT"),""))</f>
        <v/>
      </c>
    </row>
    <row r="270" ht="32" customHeight="1">
      <c r="A270" s="43" t="n"/>
      <c r="B270" s="44" t="n"/>
      <c r="C270" s="44" t="n"/>
      <c r="D270" s="45" t="n"/>
      <c r="E270" s="46" t="n"/>
      <c r="F270" s="47">
        <f>IF($C270="","",IF($D270="IN",$E270*_xlfn.XLOOKUP($C270,'Item Master'!$A$4:$A$53,'Item Master'!$D$4:$D$53,0),$E270*_xlfn.XLOOKUP($C270,'Item Master'!$A$4:$A$53,'Item Master'!$E$4:$E$53,0)))</f>
        <v/>
      </c>
      <c r="G270" s="48">
        <f>IF($B270="","",IF($D270="OUT",$B270&amp;"|"&amp;COUNTIFS($B$4:$B270,$B270,$D$4:$D270,"OUT"),""))</f>
        <v/>
      </c>
    </row>
    <row r="271" ht="32" customHeight="1">
      <c r="A271" s="43" t="n"/>
      <c r="B271" s="44" t="n"/>
      <c r="C271" s="44" t="n"/>
      <c r="D271" s="45" t="n"/>
      <c r="E271" s="46" t="n"/>
      <c r="F271" s="47">
        <f>IF($C271="","",IF($D271="IN",$E271*_xlfn.XLOOKUP($C271,'Item Master'!$A$4:$A$53,'Item Master'!$D$4:$D$53,0),$E271*_xlfn.XLOOKUP($C271,'Item Master'!$A$4:$A$53,'Item Master'!$E$4:$E$53,0)))</f>
        <v/>
      </c>
      <c r="G271" s="48">
        <f>IF($B271="","",IF($D271="OUT",$B271&amp;"|"&amp;COUNTIFS($B$4:$B271,$B271,$D$4:$D271,"OUT"),""))</f>
        <v/>
      </c>
    </row>
    <row r="272" ht="32" customHeight="1">
      <c r="A272" s="43" t="n"/>
      <c r="B272" s="44" t="n"/>
      <c r="C272" s="44" t="n"/>
      <c r="D272" s="45" t="n"/>
      <c r="E272" s="46" t="n"/>
      <c r="F272" s="47">
        <f>IF($C272="","",IF($D272="IN",$E272*_xlfn.XLOOKUP($C272,'Item Master'!$A$4:$A$53,'Item Master'!$D$4:$D$53,0),$E272*_xlfn.XLOOKUP($C272,'Item Master'!$A$4:$A$53,'Item Master'!$E$4:$E$53,0)))</f>
        <v/>
      </c>
      <c r="G272" s="48">
        <f>IF($B272="","",IF($D272="OUT",$B272&amp;"|"&amp;COUNTIFS($B$4:$B272,$B272,$D$4:$D272,"OUT"),""))</f>
        <v/>
      </c>
    </row>
    <row r="273" ht="32" customHeight="1">
      <c r="A273" s="43" t="n"/>
      <c r="B273" s="44" t="n"/>
      <c r="C273" s="44" t="n"/>
      <c r="D273" s="45" t="n"/>
      <c r="E273" s="46" t="n"/>
      <c r="F273" s="47">
        <f>IF($C273="","",IF($D273="IN",$E273*_xlfn.XLOOKUP($C273,'Item Master'!$A$4:$A$53,'Item Master'!$D$4:$D$53,0),$E273*_xlfn.XLOOKUP($C273,'Item Master'!$A$4:$A$53,'Item Master'!$E$4:$E$53,0)))</f>
        <v/>
      </c>
      <c r="G273" s="48">
        <f>IF($B273="","",IF($D273="OUT",$B273&amp;"|"&amp;COUNTIFS($B$4:$B273,$B273,$D$4:$D273,"OUT"),""))</f>
        <v/>
      </c>
    </row>
    <row r="274" ht="32" customHeight="1">
      <c r="A274" s="43" t="n"/>
      <c r="B274" s="44" t="n"/>
      <c r="C274" s="44" t="n"/>
      <c r="D274" s="45" t="n"/>
      <c r="E274" s="46" t="n"/>
      <c r="F274" s="47">
        <f>IF($C274="","",IF($D274="IN",$E274*_xlfn.XLOOKUP($C274,'Item Master'!$A$4:$A$53,'Item Master'!$D$4:$D$53,0),$E274*_xlfn.XLOOKUP($C274,'Item Master'!$A$4:$A$53,'Item Master'!$E$4:$E$53,0)))</f>
        <v/>
      </c>
      <c r="G274" s="48">
        <f>IF($B274="","",IF($D274="OUT",$B274&amp;"|"&amp;COUNTIFS($B$4:$B274,$B274,$D$4:$D274,"OUT"),""))</f>
        <v/>
      </c>
    </row>
    <row r="275" ht="32" customHeight="1">
      <c r="A275" s="43" t="n"/>
      <c r="B275" s="44" t="n"/>
      <c r="C275" s="44" t="n"/>
      <c r="D275" s="45" t="n"/>
      <c r="E275" s="46" t="n"/>
      <c r="F275" s="47">
        <f>IF($C275="","",IF($D275="IN",$E275*_xlfn.XLOOKUP($C275,'Item Master'!$A$4:$A$53,'Item Master'!$D$4:$D$53,0),$E275*_xlfn.XLOOKUP($C275,'Item Master'!$A$4:$A$53,'Item Master'!$E$4:$E$53,0)))</f>
        <v/>
      </c>
      <c r="G275" s="48">
        <f>IF($B275="","",IF($D275="OUT",$B275&amp;"|"&amp;COUNTIFS($B$4:$B275,$B275,$D$4:$D275,"OUT"),""))</f>
        <v/>
      </c>
    </row>
    <row r="276" ht="32" customHeight="1">
      <c r="A276" s="43" t="n"/>
      <c r="B276" s="44" t="n"/>
      <c r="C276" s="44" t="n"/>
      <c r="D276" s="45" t="n"/>
      <c r="E276" s="46" t="n"/>
      <c r="F276" s="47">
        <f>IF($C276="","",IF($D276="IN",$E276*_xlfn.XLOOKUP($C276,'Item Master'!$A$4:$A$53,'Item Master'!$D$4:$D$53,0),$E276*_xlfn.XLOOKUP($C276,'Item Master'!$A$4:$A$53,'Item Master'!$E$4:$E$53,0)))</f>
        <v/>
      </c>
      <c r="G276" s="48">
        <f>IF($B276="","",IF($D276="OUT",$B276&amp;"|"&amp;COUNTIFS($B$4:$B276,$B276,$D$4:$D276,"OUT"),""))</f>
        <v/>
      </c>
    </row>
    <row r="277" ht="32" customHeight="1">
      <c r="A277" s="43" t="n"/>
      <c r="B277" s="44" t="n"/>
      <c r="C277" s="44" t="n"/>
      <c r="D277" s="45" t="n"/>
      <c r="E277" s="46" t="n"/>
      <c r="F277" s="47">
        <f>IF($C277="","",IF($D277="IN",$E277*_xlfn.XLOOKUP($C277,'Item Master'!$A$4:$A$53,'Item Master'!$D$4:$D$53,0),$E277*_xlfn.XLOOKUP($C277,'Item Master'!$A$4:$A$53,'Item Master'!$E$4:$E$53,0)))</f>
        <v/>
      </c>
      <c r="G277" s="48">
        <f>IF($B277="","",IF($D277="OUT",$B277&amp;"|"&amp;COUNTIFS($B$4:$B277,$B277,$D$4:$D277,"OUT"),""))</f>
        <v/>
      </c>
    </row>
    <row r="278" ht="32" customHeight="1">
      <c r="A278" s="43" t="n"/>
      <c r="B278" s="44" t="n"/>
      <c r="C278" s="44" t="n"/>
      <c r="D278" s="45" t="n"/>
      <c r="E278" s="46" t="n"/>
      <c r="F278" s="47">
        <f>IF($C278="","",IF($D278="IN",$E278*_xlfn.XLOOKUP($C278,'Item Master'!$A$4:$A$53,'Item Master'!$D$4:$D$53,0),$E278*_xlfn.XLOOKUP($C278,'Item Master'!$A$4:$A$53,'Item Master'!$E$4:$E$53,0)))</f>
        <v/>
      </c>
      <c r="G278" s="48">
        <f>IF($B278="","",IF($D278="OUT",$B278&amp;"|"&amp;COUNTIFS($B$4:$B278,$B278,$D$4:$D278,"OUT"),""))</f>
        <v/>
      </c>
    </row>
    <row r="279" ht="32" customHeight="1">
      <c r="A279" s="43" t="n"/>
      <c r="B279" s="44" t="n"/>
      <c r="C279" s="44" t="n"/>
      <c r="D279" s="45" t="n"/>
      <c r="E279" s="46" t="n"/>
      <c r="F279" s="47">
        <f>IF($C279="","",IF($D279="IN",$E279*_xlfn.XLOOKUP($C279,'Item Master'!$A$4:$A$53,'Item Master'!$D$4:$D$53,0),$E279*_xlfn.XLOOKUP($C279,'Item Master'!$A$4:$A$53,'Item Master'!$E$4:$E$53,0)))</f>
        <v/>
      </c>
      <c r="G279" s="48">
        <f>IF($B279="","",IF($D279="OUT",$B279&amp;"|"&amp;COUNTIFS($B$4:$B279,$B279,$D$4:$D279,"OUT"),""))</f>
        <v/>
      </c>
    </row>
    <row r="280" ht="32" customHeight="1">
      <c r="A280" s="43" t="n"/>
      <c r="B280" s="44" t="n"/>
      <c r="C280" s="44" t="n"/>
      <c r="D280" s="45" t="n"/>
      <c r="E280" s="46" t="n"/>
      <c r="F280" s="47">
        <f>IF($C280="","",IF($D280="IN",$E280*_xlfn.XLOOKUP($C280,'Item Master'!$A$4:$A$53,'Item Master'!$D$4:$D$53,0),$E280*_xlfn.XLOOKUP($C280,'Item Master'!$A$4:$A$53,'Item Master'!$E$4:$E$53,0)))</f>
        <v/>
      </c>
      <c r="G280" s="48">
        <f>IF($B280="","",IF($D280="OUT",$B280&amp;"|"&amp;COUNTIFS($B$4:$B280,$B280,$D$4:$D280,"OUT"),""))</f>
        <v/>
      </c>
    </row>
    <row r="281" ht="32" customHeight="1">
      <c r="A281" s="43" t="n"/>
      <c r="B281" s="44" t="n"/>
      <c r="C281" s="44" t="n"/>
      <c r="D281" s="45" t="n"/>
      <c r="E281" s="46" t="n"/>
      <c r="F281" s="47">
        <f>IF($C281="","",IF($D281="IN",$E281*_xlfn.XLOOKUP($C281,'Item Master'!$A$4:$A$53,'Item Master'!$D$4:$D$53,0),$E281*_xlfn.XLOOKUP($C281,'Item Master'!$A$4:$A$53,'Item Master'!$E$4:$E$53,0)))</f>
        <v/>
      </c>
      <c r="G281" s="48">
        <f>IF($B281="","",IF($D281="OUT",$B281&amp;"|"&amp;COUNTIFS($B$4:$B281,$B281,$D$4:$D281,"OUT"),""))</f>
        <v/>
      </c>
    </row>
    <row r="282" ht="32" customHeight="1">
      <c r="A282" s="43" t="n"/>
      <c r="B282" s="44" t="n"/>
      <c r="C282" s="44" t="n"/>
      <c r="D282" s="45" t="n"/>
      <c r="E282" s="46" t="n"/>
      <c r="F282" s="47">
        <f>IF($C282="","",IF($D282="IN",$E282*_xlfn.XLOOKUP($C282,'Item Master'!$A$4:$A$53,'Item Master'!$D$4:$D$53,0),$E282*_xlfn.XLOOKUP($C282,'Item Master'!$A$4:$A$53,'Item Master'!$E$4:$E$53,0)))</f>
        <v/>
      </c>
      <c r="G282" s="48">
        <f>IF($B282="","",IF($D282="OUT",$B282&amp;"|"&amp;COUNTIFS($B$4:$B282,$B282,$D$4:$D282,"OUT"),""))</f>
        <v/>
      </c>
    </row>
    <row r="283" ht="32" customHeight="1">
      <c r="A283" s="43" t="n"/>
      <c r="B283" s="44" t="n"/>
      <c r="C283" s="44" t="n"/>
      <c r="D283" s="45" t="n"/>
      <c r="E283" s="46" t="n"/>
      <c r="F283" s="47">
        <f>IF($C283="","",IF($D283="IN",$E283*_xlfn.XLOOKUP($C283,'Item Master'!$A$4:$A$53,'Item Master'!$D$4:$D$53,0),$E283*_xlfn.XLOOKUP($C283,'Item Master'!$A$4:$A$53,'Item Master'!$E$4:$E$53,0)))</f>
        <v/>
      </c>
      <c r="G283" s="48">
        <f>IF($B283="","",IF($D283="OUT",$B283&amp;"|"&amp;COUNTIFS($B$4:$B283,$B283,$D$4:$D283,"OUT"),""))</f>
        <v/>
      </c>
    </row>
    <row r="284" ht="32" customHeight="1">
      <c r="A284" s="43" t="n"/>
      <c r="B284" s="44" t="n"/>
      <c r="C284" s="44" t="n"/>
      <c r="D284" s="45" t="n"/>
      <c r="E284" s="46" t="n"/>
      <c r="F284" s="47">
        <f>IF($C284="","",IF($D284="IN",$E284*_xlfn.XLOOKUP($C284,'Item Master'!$A$4:$A$53,'Item Master'!$D$4:$D$53,0),$E284*_xlfn.XLOOKUP($C284,'Item Master'!$A$4:$A$53,'Item Master'!$E$4:$E$53,0)))</f>
        <v/>
      </c>
      <c r="G284" s="48">
        <f>IF($B284="","",IF($D284="OUT",$B284&amp;"|"&amp;COUNTIFS($B$4:$B284,$B284,$D$4:$D284,"OUT"),""))</f>
        <v/>
      </c>
    </row>
    <row r="285" ht="32" customHeight="1">
      <c r="A285" s="43" t="n"/>
      <c r="B285" s="44" t="n"/>
      <c r="C285" s="44" t="n"/>
      <c r="D285" s="45" t="n"/>
      <c r="E285" s="46" t="n"/>
      <c r="F285" s="47">
        <f>IF($C285="","",IF($D285="IN",$E285*_xlfn.XLOOKUP($C285,'Item Master'!$A$4:$A$53,'Item Master'!$D$4:$D$53,0),$E285*_xlfn.XLOOKUP($C285,'Item Master'!$A$4:$A$53,'Item Master'!$E$4:$E$53,0)))</f>
        <v/>
      </c>
      <c r="G285" s="48">
        <f>IF($B285="","",IF($D285="OUT",$B285&amp;"|"&amp;COUNTIFS($B$4:$B285,$B285,$D$4:$D285,"OUT"),""))</f>
        <v/>
      </c>
    </row>
    <row r="286" ht="32" customHeight="1">
      <c r="A286" s="43" t="n"/>
      <c r="B286" s="44" t="n"/>
      <c r="C286" s="44" t="n"/>
      <c r="D286" s="45" t="n"/>
      <c r="E286" s="46" t="n"/>
      <c r="F286" s="47">
        <f>IF($C286="","",IF($D286="IN",$E286*_xlfn.XLOOKUP($C286,'Item Master'!$A$4:$A$53,'Item Master'!$D$4:$D$53,0),$E286*_xlfn.XLOOKUP($C286,'Item Master'!$A$4:$A$53,'Item Master'!$E$4:$E$53,0)))</f>
        <v/>
      </c>
      <c r="G286" s="48">
        <f>IF($B286="","",IF($D286="OUT",$B286&amp;"|"&amp;COUNTIFS($B$4:$B286,$B286,$D$4:$D286,"OUT"),""))</f>
        <v/>
      </c>
    </row>
    <row r="287" ht="32" customHeight="1">
      <c r="A287" s="43" t="n"/>
      <c r="B287" s="44" t="n"/>
      <c r="C287" s="44" t="n"/>
      <c r="D287" s="45" t="n"/>
      <c r="E287" s="46" t="n"/>
      <c r="F287" s="47">
        <f>IF($C287="","",IF($D287="IN",$E287*_xlfn.XLOOKUP($C287,'Item Master'!$A$4:$A$53,'Item Master'!$D$4:$D$53,0),$E287*_xlfn.XLOOKUP($C287,'Item Master'!$A$4:$A$53,'Item Master'!$E$4:$E$53,0)))</f>
        <v/>
      </c>
      <c r="G287" s="48">
        <f>IF($B287="","",IF($D287="OUT",$B287&amp;"|"&amp;COUNTIFS($B$4:$B287,$B287,$D$4:$D287,"OUT"),""))</f>
        <v/>
      </c>
    </row>
    <row r="288" ht="32" customHeight="1">
      <c r="A288" s="43" t="n"/>
      <c r="B288" s="44" t="n"/>
      <c r="C288" s="44" t="n"/>
      <c r="D288" s="45" t="n"/>
      <c r="E288" s="46" t="n"/>
      <c r="F288" s="47">
        <f>IF($C288="","",IF($D288="IN",$E288*_xlfn.XLOOKUP($C288,'Item Master'!$A$4:$A$53,'Item Master'!$D$4:$D$53,0),$E288*_xlfn.XLOOKUP($C288,'Item Master'!$A$4:$A$53,'Item Master'!$E$4:$E$53,0)))</f>
        <v/>
      </c>
      <c r="G288" s="48">
        <f>IF($B288="","",IF($D288="OUT",$B288&amp;"|"&amp;COUNTIFS($B$4:$B288,$B288,$D$4:$D288,"OUT"),""))</f>
        <v/>
      </c>
    </row>
    <row r="289" ht="32" customHeight="1">
      <c r="A289" s="43" t="n"/>
      <c r="B289" s="44" t="n"/>
      <c r="C289" s="44" t="n"/>
      <c r="D289" s="45" t="n"/>
      <c r="E289" s="46" t="n"/>
      <c r="F289" s="47">
        <f>IF($C289="","",IF($D289="IN",$E289*_xlfn.XLOOKUP($C289,'Item Master'!$A$4:$A$53,'Item Master'!$D$4:$D$53,0),$E289*_xlfn.XLOOKUP($C289,'Item Master'!$A$4:$A$53,'Item Master'!$E$4:$E$53,0)))</f>
        <v/>
      </c>
      <c r="G289" s="48">
        <f>IF($B289="","",IF($D289="OUT",$B289&amp;"|"&amp;COUNTIFS($B$4:$B289,$B289,$D$4:$D289,"OUT"),""))</f>
        <v/>
      </c>
    </row>
    <row r="290" ht="32" customHeight="1">
      <c r="A290" s="43" t="n"/>
      <c r="B290" s="44" t="n"/>
      <c r="C290" s="44" t="n"/>
      <c r="D290" s="45" t="n"/>
      <c r="E290" s="46" t="n"/>
      <c r="F290" s="47">
        <f>IF($C290="","",IF($D290="IN",$E290*_xlfn.XLOOKUP($C290,'Item Master'!$A$4:$A$53,'Item Master'!$D$4:$D$53,0),$E290*_xlfn.XLOOKUP($C290,'Item Master'!$A$4:$A$53,'Item Master'!$E$4:$E$53,0)))</f>
        <v/>
      </c>
      <c r="G290" s="48">
        <f>IF($B290="","",IF($D290="OUT",$B290&amp;"|"&amp;COUNTIFS($B$4:$B290,$B290,$D$4:$D290,"OUT"),""))</f>
        <v/>
      </c>
    </row>
    <row r="291" ht="32" customHeight="1">
      <c r="A291" s="43" t="n"/>
      <c r="B291" s="44" t="n"/>
      <c r="C291" s="44" t="n"/>
      <c r="D291" s="45" t="n"/>
      <c r="E291" s="46" t="n"/>
      <c r="F291" s="47">
        <f>IF($C291="","",IF($D291="IN",$E291*_xlfn.XLOOKUP($C291,'Item Master'!$A$4:$A$53,'Item Master'!$D$4:$D$53,0),$E291*_xlfn.XLOOKUP($C291,'Item Master'!$A$4:$A$53,'Item Master'!$E$4:$E$53,0)))</f>
        <v/>
      </c>
      <c r="G291" s="48">
        <f>IF($B291="","",IF($D291="OUT",$B291&amp;"|"&amp;COUNTIFS($B$4:$B291,$B291,$D$4:$D291,"OUT"),""))</f>
        <v/>
      </c>
    </row>
    <row r="292" ht="32" customHeight="1">
      <c r="A292" s="43" t="n"/>
      <c r="B292" s="44" t="n"/>
      <c r="C292" s="44" t="n"/>
      <c r="D292" s="45" t="n"/>
      <c r="E292" s="46" t="n"/>
      <c r="F292" s="47">
        <f>IF($C292="","",IF($D292="IN",$E292*_xlfn.XLOOKUP($C292,'Item Master'!$A$4:$A$53,'Item Master'!$D$4:$D$53,0),$E292*_xlfn.XLOOKUP($C292,'Item Master'!$A$4:$A$53,'Item Master'!$E$4:$E$53,0)))</f>
        <v/>
      </c>
      <c r="G292" s="48">
        <f>IF($B292="","",IF($D292="OUT",$B292&amp;"|"&amp;COUNTIFS($B$4:$B292,$B292,$D$4:$D292,"OUT"),""))</f>
        <v/>
      </c>
    </row>
    <row r="293" ht="32" customHeight="1">
      <c r="A293" s="43" t="n"/>
      <c r="B293" s="44" t="n"/>
      <c r="C293" s="44" t="n"/>
      <c r="D293" s="45" t="n"/>
      <c r="E293" s="46" t="n"/>
      <c r="F293" s="47">
        <f>IF($C293="","",IF($D293="IN",$E293*_xlfn.XLOOKUP($C293,'Item Master'!$A$4:$A$53,'Item Master'!$D$4:$D$53,0),$E293*_xlfn.XLOOKUP($C293,'Item Master'!$A$4:$A$53,'Item Master'!$E$4:$E$53,0)))</f>
        <v/>
      </c>
      <c r="G293" s="48">
        <f>IF($B293="","",IF($D293="OUT",$B293&amp;"|"&amp;COUNTIFS($B$4:$B293,$B293,$D$4:$D293,"OUT"),""))</f>
        <v/>
      </c>
    </row>
    <row r="294" ht="32" customHeight="1">
      <c r="A294" s="43" t="n"/>
      <c r="B294" s="44" t="n"/>
      <c r="C294" s="44" t="n"/>
      <c r="D294" s="45" t="n"/>
      <c r="E294" s="46" t="n"/>
      <c r="F294" s="47">
        <f>IF($C294="","",IF($D294="IN",$E294*_xlfn.XLOOKUP($C294,'Item Master'!$A$4:$A$53,'Item Master'!$D$4:$D$53,0),$E294*_xlfn.XLOOKUP($C294,'Item Master'!$A$4:$A$53,'Item Master'!$E$4:$E$53,0)))</f>
        <v/>
      </c>
      <c r="G294" s="48">
        <f>IF($B294="","",IF($D294="OUT",$B294&amp;"|"&amp;COUNTIFS($B$4:$B294,$B294,$D$4:$D294,"OUT"),""))</f>
        <v/>
      </c>
    </row>
    <row r="295" ht="32" customHeight="1">
      <c r="A295" s="43" t="n"/>
      <c r="B295" s="44" t="n"/>
      <c r="C295" s="44" t="n"/>
      <c r="D295" s="45" t="n"/>
      <c r="E295" s="46" t="n"/>
      <c r="F295" s="47">
        <f>IF($C295="","",IF($D295="IN",$E295*_xlfn.XLOOKUP($C295,'Item Master'!$A$4:$A$53,'Item Master'!$D$4:$D$53,0),$E295*_xlfn.XLOOKUP($C295,'Item Master'!$A$4:$A$53,'Item Master'!$E$4:$E$53,0)))</f>
        <v/>
      </c>
      <c r="G295" s="48">
        <f>IF($B295="","",IF($D295="OUT",$B295&amp;"|"&amp;COUNTIFS($B$4:$B295,$B295,$D$4:$D295,"OUT"),""))</f>
        <v/>
      </c>
    </row>
    <row r="296" ht="32" customHeight="1">
      <c r="A296" s="43" t="n"/>
      <c r="B296" s="44" t="n"/>
      <c r="C296" s="44" t="n"/>
      <c r="D296" s="45" t="n"/>
      <c r="E296" s="46" t="n"/>
      <c r="F296" s="47">
        <f>IF($C296="","",IF($D296="IN",$E296*_xlfn.XLOOKUP($C296,'Item Master'!$A$4:$A$53,'Item Master'!$D$4:$D$53,0),$E296*_xlfn.XLOOKUP($C296,'Item Master'!$A$4:$A$53,'Item Master'!$E$4:$E$53,0)))</f>
        <v/>
      </c>
      <c r="G296" s="48">
        <f>IF($B296="","",IF($D296="OUT",$B296&amp;"|"&amp;COUNTIFS($B$4:$B296,$B296,$D$4:$D296,"OUT"),""))</f>
        <v/>
      </c>
    </row>
    <row r="297" ht="32" customHeight="1">
      <c r="A297" s="43" t="n"/>
      <c r="B297" s="44" t="n"/>
      <c r="C297" s="44" t="n"/>
      <c r="D297" s="45" t="n"/>
      <c r="E297" s="46" t="n"/>
      <c r="F297" s="47">
        <f>IF($C297="","",IF($D297="IN",$E297*_xlfn.XLOOKUP($C297,'Item Master'!$A$4:$A$53,'Item Master'!$D$4:$D$53,0),$E297*_xlfn.XLOOKUP($C297,'Item Master'!$A$4:$A$53,'Item Master'!$E$4:$E$53,0)))</f>
        <v/>
      </c>
      <c r="G297" s="48">
        <f>IF($B297="","",IF($D297="OUT",$B297&amp;"|"&amp;COUNTIFS($B$4:$B297,$B297,$D$4:$D297,"OUT"),""))</f>
        <v/>
      </c>
    </row>
    <row r="298" ht="32" customHeight="1">
      <c r="A298" s="43" t="n"/>
      <c r="B298" s="44" t="n"/>
      <c r="C298" s="44" t="n"/>
      <c r="D298" s="45" t="n"/>
      <c r="E298" s="46" t="n"/>
      <c r="F298" s="47">
        <f>IF($C298="","",IF($D298="IN",$E298*_xlfn.XLOOKUP($C298,'Item Master'!$A$4:$A$53,'Item Master'!$D$4:$D$53,0),$E298*_xlfn.XLOOKUP($C298,'Item Master'!$A$4:$A$53,'Item Master'!$E$4:$E$53,0)))</f>
        <v/>
      </c>
      <c r="G298" s="48">
        <f>IF($B298="","",IF($D298="OUT",$B298&amp;"|"&amp;COUNTIFS($B$4:$B298,$B298,$D$4:$D298,"OUT"),""))</f>
        <v/>
      </c>
    </row>
    <row r="299" ht="32" customHeight="1">
      <c r="A299" s="43" t="n"/>
      <c r="B299" s="44" t="n"/>
      <c r="C299" s="44" t="n"/>
      <c r="D299" s="45" t="n"/>
      <c r="E299" s="46" t="n"/>
      <c r="F299" s="47">
        <f>IF($C299="","",IF($D299="IN",$E299*_xlfn.XLOOKUP($C299,'Item Master'!$A$4:$A$53,'Item Master'!$D$4:$D$53,0),$E299*_xlfn.XLOOKUP($C299,'Item Master'!$A$4:$A$53,'Item Master'!$E$4:$E$53,0)))</f>
        <v/>
      </c>
      <c r="G299" s="48">
        <f>IF($B299="","",IF($D299="OUT",$B299&amp;"|"&amp;COUNTIFS($B$4:$B299,$B299,$D$4:$D299,"OUT"),""))</f>
        <v/>
      </c>
    </row>
    <row r="300" ht="32" customHeight="1">
      <c r="A300" s="43" t="n"/>
      <c r="B300" s="44" t="n"/>
      <c r="C300" s="44" t="n"/>
      <c r="D300" s="45" t="n"/>
      <c r="E300" s="46" t="n"/>
      <c r="F300" s="47">
        <f>IF($C300="","",IF($D300="IN",$E300*_xlfn.XLOOKUP($C300,'Item Master'!$A$4:$A$53,'Item Master'!$D$4:$D$53,0),$E300*_xlfn.XLOOKUP($C300,'Item Master'!$A$4:$A$53,'Item Master'!$E$4:$E$53,0)))</f>
        <v/>
      </c>
      <c r="G300" s="48">
        <f>IF($B300="","",IF($D300="OUT",$B300&amp;"|"&amp;COUNTIFS($B$4:$B300,$B300,$D$4:$D300,"OUT"),""))</f>
        <v/>
      </c>
    </row>
    <row r="301" ht="32" customHeight="1">
      <c r="A301" s="43" t="n"/>
      <c r="B301" s="44" t="n"/>
      <c r="C301" s="44" t="n"/>
      <c r="D301" s="45" t="n"/>
      <c r="E301" s="46" t="n"/>
      <c r="F301" s="47">
        <f>IF($C301="","",IF($D301="IN",$E301*_xlfn.XLOOKUP($C301,'Item Master'!$A$4:$A$53,'Item Master'!$D$4:$D$53,0),$E301*_xlfn.XLOOKUP($C301,'Item Master'!$A$4:$A$53,'Item Master'!$E$4:$E$53,0)))</f>
        <v/>
      </c>
      <c r="G301" s="48">
        <f>IF($B301="","",IF($D301="OUT",$B301&amp;"|"&amp;COUNTIFS($B$4:$B301,$B301,$D$4:$D301,"OUT"),""))</f>
        <v/>
      </c>
    </row>
    <row r="302" ht="32" customHeight="1">
      <c r="A302" s="43" t="n"/>
      <c r="B302" s="44" t="n"/>
      <c r="C302" s="44" t="n"/>
      <c r="D302" s="45" t="n"/>
      <c r="E302" s="46" t="n"/>
      <c r="F302" s="47">
        <f>IF($C302="","",IF($D302="IN",$E302*_xlfn.XLOOKUP($C302,'Item Master'!$A$4:$A$53,'Item Master'!$D$4:$D$53,0),$E302*_xlfn.XLOOKUP($C302,'Item Master'!$A$4:$A$53,'Item Master'!$E$4:$E$53,0)))</f>
        <v/>
      </c>
      <c r="G302" s="48">
        <f>IF($B302="","",IF($D302="OUT",$B302&amp;"|"&amp;COUNTIFS($B$4:$B302,$B302,$D$4:$D302,"OUT"),""))</f>
        <v/>
      </c>
    </row>
    <row r="303" ht="32" customHeight="1">
      <c r="A303" s="43" t="n"/>
      <c r="B303" s="44" t="n"/>
      <c r="C303" s="44" t="n"/>
      <c r="D303" s="45" t="n"/>
      <c r="E303" s="46" t="n"/>
      <c r="F303" s="47">
        <f>IF($C303="","",IF($D303="IN",$E303*_xlfn.XLOOKUP($C303,'Item Master'!$A$4:$A$53,'Item Master'!$D$4:$D$53,0),$E303*_xlfn.XLOOKUP($C303,'Item Master'!$A$4:$A$53,'Item Master'!$E$4:$E$53,0)))</f>
        <v/>
      </c>
      <c r="G303" s="48">
        <f>IF($B303="","",IF($D303="OUT",$B303&amp;"|"&amp;COUNTIFS($B$4:$B303,$B303,$D$4:$D303,"OUT"),""))</f>
        <v/>
      </c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</sheetData>
  <mergeCells count="2">
    <mergeCell ref="D1:E1"/>
    <mergeCell ref="F1:G1"/>
  </mergeCells>
  <conditionalFormatting sqref="D4:D303">
    <cfRule type="expression" priority="1" dxfId="5">
      <formula>$D4="IN"</formula>
    </cfRule>
    <cfRule type="expression" priority="2" dxfId="6">
      <formula>$D4="OUT"</formula>
    </cfRule>
    <cfRule type="expression" priority="3" dxfId="7">
      <formula>$D4="SHRINKAGE"</formula>
    </cfRule>
  </conditionalFormatting>
  <dataValidations count="3">
    <dataValidation sqref="C4:C303" showDropDown="0" showInputMessage="0" showErrorMessage="0" allowBlank="1" errorTitle="Unknown SKU" error="Pick an existing SKU. Add new products on the Products screen first." promptTitle="🏷️ Select SKU" prompt="Tap the arrow and choose a product." type="list">
      <formula1>SKU_List</formula1>
    </dataValidation>
    <dataValidation sqref="D4:D303" showDropDown="0" showInputMessage="0" showErrorMessage="0" allowBlank="1" errorTitle="Invalid type" error="Choose IN, OUT or SHRINKAGE." promptTitle="🔄 Movement type" prompt="IN = stock received · OUT = sold · SHRINKAGE = damaged/lost" type="list">
      <formula1>"IN,OUT,SHRINKAGE"</formula1>
    </dataValidation>
    <dataValidation sqref="E4:E303" showDropDown="0" showInputMessage="0" showErrorMessage="0" allowBlank="1" errorTitle="Invalid quantity" error="Quantity must be a whole number above zero." type="whole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F319"/>
  <sheetViews>
    <sheetView showGridLines="0" showRowColHeader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>
        <f>HYPERLINK("#'Dashboard'!A1","🏠 Dashboard")</f>
        <v/>
      </c>
      <c r="B1" s="1">
        <f>HYPERLINK("#'Item Master'!A1","📦 Products")</f>
        <v/>
      </c>
      <c r="C1" s="1">
        <f>HYPERLINK("#'Log Transaction'!A1","✍️ Log Sale")</f>
        <v/>
      </c>
      <c r="E1" s="1">
        <f>HYPERLINK("#'Invoice Generator'!A1","🧾 Invoice")</f>
        <v/>
      </c>
      <c r="F1" s="1">
        <f>HYPERLINK("#'Start Here'!A1","🚀 Start Here")</f>
        <v/>
      </c>
    </row>
    <row r="2" ht="6" customHeight="1">
      <c r="A2" s="2" t="n"/>
      <c r="B2" s="2" t="n"/>
      <c r="C2" s="2" t="n"/>
      <c r="D2" s="2" t="n"/>
      <c r="E2" s="2" t="n"/>
      <c r="F2" s="2" t="n"/>
    </row>
    <row r="3">
      <c r="A3" s="3" t="n"/>
      <c r="B3" s="3" t="n"/>
      <c r="C3" s="3" t="n"/>
      <c r="D3" s="3" t="n"/>
      <c r="E3" s="3" t="n"/>
      <c r="F3" s="3" t="n"/>
    </row>
    <row r="4" ht="30" customHeight="1">
      <c r="A4" s="49">
        <f>Settings!$C$8</f>
        <v/>
      </c>
      <c r="D4" s="50" t="inlineStr">
        <is>
          <t>🧾 INVOICE</t>
        </is>
      </c>
      <c r="F4" s="3" t="n"/>
    </row>
    <row r="5" ht="24" customHeight="1">
      <c r="A5" s="51">
        <f>Settings!$C$9&amp;"  ·  "&amp;Settings!$C$10</f>
        <v/>
      </c>
      <c r="F5" s="3" t="n"/>
    </row>
    <row r="6" ht="10" customHeight="1">
      <c r="A6" s="3" t="n"/>
      <c r="B6" s="3" t="n"/>
      <c r="C6" s="3" t="n"/>
      <c r="D6" s="3" t="n"/>
      <c r="E6" s="3" t="n"/>
      <c r="F6" s="3" t="n"/>
    </row>
    <row r="7" ht="36" customHeight="1">
      <c r="A7" s="52" t="inlineStr">
        <is>
          <t>🔎 TRANSACTION ID</t>
        </is>
      </c>
      <c r="B7" s="53" t="inlineStr">
        <is>
          <t>INV-1001</t>
        </is>
      </c>
      <c r="D7" s="54" t="inlineStr">
        <is>
          <t>Invoice No.</t>
        </is>
      </c>
      <c r="E7" s="55">
        <f>IF($B$7="","",Settings!$C$14&amp;$B$7)</f>
        <v/>
      </c>
      <c r="F7" s="3" t="n"/>
    </row>
    <row r="8" ht="32" customHeight="1">
      <c r="A8" s="52" t="inlineStr">
        <is>
          <t>📅 DATE</t>
        </is>
      </c>
      <c r="B8" s="56">
        <f>IFERROR(INDEX('Log Transaction'!$A$4:$A$303,MATCH($B$7,'Log Transaction'!$B$4:$B$303,0)),TODAY())</f>
        <v/>
      </c>
      <c r="D8" s="54" t="inlineStr">
        <is>
          <t>Due</t>
        </is>
      </c>
      <c r="E8" s="56">
        <f>IF($B$8="","",$B$8+Settings!$C$15)</f>
        <v/>
      </c>
      <c r="F8" s="3" t="n"/>
    </row>
    <row r="9" ht="34" customHeight="1">
      <c r="A9" s="52" t="inlineStr">
        <is>
          <t>👤 BILL TO</t>
        </is>
      </c>
      <c r="B9" s="57" t="inlineStr">
        <is>
          <t>Customer name · email · address</t>
        </is>
      </c>
      <c r="F9" s="3" t="n"/>
    </row>
    <row r="10" ht="12" customHeight="1">
      <c r="A10" s="3" t="n"/>
      <c r="B10" s="3" t="n"/>
      <c r="C10" s="3" t="n"/>
      <c r="D10" s="3" t="n"/>
      <c r="E10" s="3" t="n"/>
      <c r="F10" s="3" t="n"/>
    </row>
    <row r="11" ht="34" customHeight="1">
      <c r="A11" s="52" t="inlineStr">
        <is>
          <t>SKU</t>
        </is>
      </c>
      <c r="B11" s="52" t="inlineStr">
        <is>
          <t>📦 Description</t>
        </is>
      </c>
      <c r="C11" s="52" t="inlineStr">
        <is>
          <t>Qty</t>
        </is>
      </c>
      <c r="D11" s="52" t="inlineStr">
        <is>
          <t>Unit Price</t>
        </is>
      </c>
      <c r="E11" s="52" t="inlineStr">
        <is>
          <t>Line Total</t>
        </is>
      </c>
      <c r="F11" s="3" t="n"/>
    </row>
    <row r="12" ht="30" customHeight="1">
      <c r="A12" s="58">
        <f>IFERROR(INDEX('Log Transaction'!$C$4:$C$303,MATCH($B$7&amp;"|"&amp;1,'Log Transaction'!$G$4:$G$303,0)),"")</f>
        <v/>
      </c>
      <c r="B12" s="27">
        <f>IF($A12="","",_xlfn.XLOOKUP($A12,'Item Master'!$A$4:$A$53,'Item Master'!$B$4:$B$53,""))</f>
        <v/>
      </c>
      <c r="C12" s="59">
        <f>IFERROR(INDEX('Log Transaction'!$E$4:$E$303,MATCH($B$7&amp;"|"&amp;1,'Log Transaction'!$G$4:$G$303,0)),"")</f>
        <v/>
      </c>
      <c r="D12" s="60">
        <f>IF($A12="","",_xlfn.XLOOKUP($A12,'Item Master'!$A$4:$A$53,'Item Master'!$E$4:$E$53,0))</f>
        <v/>
      </c>
      <c r="E12" s="47">
        <f>IF($A12="","",$C12*$D12)</f>
        <v/>
      </c>
      <c r="F12" s="3" t="n"/>
    </row>
    <row r="13" ht="30" customHeight="1">
      <c r="A13" s="58">
        <f>IFERROR(INDEX('Log Transaction'!$C$4:$C$303,MATCH($B$7&amp;"|"&amp;2,'Log Transaction'!$G$4:$G$303,0)),"")</f>
        <v/>
      </c>
      <c r="B13" s="27">
        <f>IF($A13="","",_xlfn.XLOOKUP($A13,'Item Master'!$A$4:$A$53,'Item Master'!$B$4:$B$53,""))</f>
        <v/>
      </c>
      <c r="C13" s="59">
        <f>IFERROR(INDEX('Log Transaction'!$E$4:$E$303,MATCH($B$7&amp;"|"&amp;2,'Log Transaction'!$G$4:$G$303,0)),"")</f>
        <v/>
      </c>
      <c r="D13" s="60">
        <f>IF($A13="","",_xlfn.XLOOKUP($A13,'Item Master'!$A$4:$A$53,'Item Master'!$E$4:$E$53,0))</f>
        <v/>
      </c>
      <c r="E13" s="47">
        <f>IF($A13="","",$C13*$D13)</f>
        <v/>
      </c>
      <c r="F13" s="3" t="n"/>
    </row>
    <row r="14" ht="30" customHeight="1">
      <c r="A14" s="58">
        <f>IFERROR(INDEX('Log Transaction'!$C$4:$C$303,MATCH($B$7&amp;"|"&amp;3,'Log Transaction'!$G$4:$G$303,0)),"")</f>
        <v/>
      </c>
      <c r="B14" s="27">
        <f>IF($A14="","",_xlfn.XLOOKUP($A14,'Item Master'!$A$4:$A$53,'Item Master'!$B$4:$B$53,""))</f>
        <v/>
      </c>
      <c r="C14" s="59">
        <f>IFERROR(INDEX('Log Transaction'!$E$4:$E$303,MATCH($B$7&amp;"|"&amp;3,'Log Transaction'!$G$4:$G$303,0)),"")</f>
        <v/>
      </c>
      <c r="D14" s="60">
        <f>IF($A14="","",_xlfn.XLOOKUP($A14,'Item Master'!$A$4:$A$53,'Item Master'!$E$4:$E$53,0))</f>
        <v/>
      </c>
      <c r="E14" s="47">
        <f>IF($A14="","",$C14*$D14)</f>
        <v/>
      </c>
      <c r="F14" s="3" t="n"/>
    </row>
    <row r="15" ht="30" customHeight="1">
      <c r="A15" s="58">
        <f>IFERROR(INDEX('Log Transaction'!$C$4:$C$303,MATCH($B$7&amp;"|"&amp;4,'Log Transaction'!$G$4:$G$303,0)),"")</f>
        <v/>
      </c>
      <c r="B15" s="27">
        <f>IF($A15="","",_xlfn.XLOOKUP($A15,'Item Master'!$A$4:$A$53,'Item Master'!$B$4:$B$53,""))</f>
        <v/>
      </c>
      <c r="C15" s="59">
        <f>IFERROR(INDEX('Log Transaction'!$E$4:$E$303,MATCH($B$7&amp;"|"&amp;4,'Log Transaction'!$G$4:$G$303,0)),"")</f>
        <v/>
      </c>
      <c r="D15" s="60">
        <f>IF($A15="","",_xlfn.XLOOKUP($A15,'Item Master'!$A$4:$A$53,'Item Master'!$E$4:$E$53,0))</f>
        <v/>
      </c>
      <c r="E15" s="47">
        <f>IF($A15="","",$C15*$D15)</f>
        <v/>
      </c>
      <c r="F15" s="3" t="n"/>
    </row>
    <row r="16" ht="30" customHeight="1">
      <c r="A16" s="58">
        <f>IFERROR(INDEX('Log Transaction'!$C$4:$C$303,MATCH($B$7&amp;"|"&amp;5,'Log Transaction'!$G$4:$G$303,0)),"")</f>
        <v/>
      </c>
      <c r="B16" s="27">
        <f>IF($A16="","",_xlfn.XLOOKUP($A16,'Item Master'!$A$4:$A$53,'Item Master'!$B$4:$B$53,""))</f>
        <v/>
      </c>
      <c r="C16" s="59">
        <f>IFERROR(INDEX('Log Transaction'!$E$4:$E$303,MATCH($B$7&amp;"|"&amp;5,'Log Transaction'!$G$4:$G$303,0)),"")</f>
        <v/>
      </c>
      <c r="D16" s="60">
        <f>IF($A16="","",_xlfn.XLOOKUP($A16,'Item Master'!$A$4:$A$53,'Item Master'!$E$4:$E$53,0))</f>
        <v/>
      </c>
      <c r="E16" s="47">
        <f>IF($A16="","",$C16*$D16)</f>
        <v/>
      </c>
      <c r="F16" s="3" t="n"/>
    </row>
    <row r="17" ht="30" customHeight="1">
      <c r="A17" s="58">
        <f>IFERROR(INDEX('Log Transaction'!$C$4:$C$303,MATCH($B$7&amp;"|"&amp;6,'Log Transaction'!$G$4:$G$303,0)),"")</f>
        <v/>
      </c>
      <c r="B17" s="27">
        <f>IF($A17="","",_xlfn.XLOOKUP($A17,'Item Master'!$A$4:$A$53,'Item Master'!$B$4:$B$53,""))</f>
        <v/>
      </c>
      <c r="C17" s="59">
        <f>IFERROR(INDEX('Log Transaction'!$E$4:$E$303,MATCH($B$7&amp;"|"&amp;6,'Log Transaction'!$G$4:$G$303,0)),"")</f>
        <v/>
      </c>
      <c r="D17" s="60">
        <f>IF($A17="","",_xlfn.XLOOKUP($A17,'Item Master'!$A$4:$A$53,'Item Master'!$E$4:$E$53,0))</f>
        <v/>
      </c>
      <c r="E17" s="47">
        <f>IF($A17="","",$C17*$D17)</f>
        <v/>
      </c>
      <c r="F17" s="3" t="n"/>
    </row>
    <row r="18" ht="30" customHeight="1">
      <c r="A18" s="58">
        <f>IFERROR(INDEX('Log Transaction'!$C$4:$C$303,MATCH($B$7&amp;"|"&amp;7,'Log Transaction'!$G$4:$G$303,0)),"")</f>
        <v/>
      </c>
      <c r="B18" s="27">
        <f>IF($A18="","",_xlfn.XLOOKUP($A18,'Item Master'!$A$4:$A$53,'Item Master'!$B$4:$B$53,""))</f>
        <v/>
      </c>
      <c r="C18" s="59">
        <f>IFERROR(INDEX('Log Transaction'!$E$4:$E$303,MATCH($B$7&amp;"|"&amp;7,'Log Transaction'!$G$4:$G$303,0)),"")</f>
        <v/>
      </c>
      <c r="D18" s="60">
        <f>IF($A18="","",_xlfn.XLOOKUP($A18,'Item Master'!$A$4:$A$53,'Item Master'!$E$4:$E$53,0))</f>
        <v/>
      </c>
      <c r="E18" s="47">
        <f>IF($A18="","",$C18*$D18)</f>
        <v/>
      </c>
      <c r="F18" s="3" t="n"/>
    </row>
    <row r="19" ht="30" customHeight="1">
      <c r="A19" s="58">
        <f>IFERROR(INDEX('Log Transaction'!$C$4:$C$303,MATCH($B$7&amp;"|"&amp;8,'Log Transaction'!$G$4:$G$303,0)),"")</f>
        <v/>
      </c>
      <c r="B19" s="27">
        <f>IF($A19="","",_xlfn.XLOOKUP($A19,'Item Master'!$A$4:$A$53,'Item Master'!$B$4:$B$53,""))</f>
        <v/>
      </c>
      <c r="C19" s="59">
        <f>IFERROR(INDEX('Log Transaction'!$E$4:$E$303,MATCH($B$7&amp;"|"&amp;8,'Log Transaction'!$G$4:$G$303,0)),"")</f>
        <v/>
      </c>
      <c r="D19" s="60">
        <f>IF($A19="","",_xlfn.XLOOKUP($A19,'Item Master'!$A$4:$A$53,'Item Master'!$E$4:$E$53,0))</f>
        <v/>
      </c>
      <c r="E19" s="47">
        <f>IF($A19="","",$C19*$D19)</f>
        <v/>
      </c>
      <c r="F19" s="3" t="n"/>
    </row>
    <row r="20" ht="30" customHeight="1">
      <c r="A20" s="58">
        <f>IFERROR(INDEX('Log Transaction'!$C$4:$C$303,MATCH($B$7&amp;"|"&amp;9,'Log Transaction'!$G$4:$G$303,0)),"")</f>
        <v/>
      </c>
      <c r="B20" s="27">
        <f>IF($A20="","",_xlfn.XLOOKUP($A20,'Item Master'!$A$4:$A$53,'Item Master'!$B$4:$B$53,""))</f>
        <v/>
      </c>
      <c r="C20" s="59">
        <f>IFERROR(INDEX('Log Transaction'!$E$4:$E$303,MATCH($B$7&amp;"|"&amp;9,'Log Transaction'!$G$4:$G$303,0)),"")</f>
        <v/>
      </c>
      <c r="D20" s="60">
        <f>IF($A20="","",_xlfn.XLOOKUP($A20,'Item Master'!$A$4:$A$53,'Item Master'!$E$4:$E$53,0))</f>
        <v/>
      </c>
      <c r="E20" s="47">
        <f>IF($A20="","",$C20*$D20)</f>
        <v/>
      </c>
      <c r="F20" s="3" t="n"/>
    </row>
    <row r="21" ht="30" customHeight="1">
      <c r="A21" s="58">
        <f>IFERROR(INDEX('Log Transaction'!$C$4:$C$303,MATCH($B$7&amp;"|"&amp;10,'Log Transaction'!$G$4:$G$303,0)),"")</f>
        <v/>
      </c>
      <c r="B21" s="27">
        <f>IF($A21="","",_xlfn.XLOOKUP($A21,'Item Master'!$A$4:$A$53,'Item Master'!$B$4:$B$53,""))</f>
        <v/>
      </c>
      <c r="C21" s="59">
        <f>IFERROR(INDEX('Log Transaction'!$E$4:$E$303,MATCH($B$7&amp;"|"&amp;10,'Log Transaction'!$G$4:$G$303,0)),"")</f>
        <v/>
      </c>
      <c r="D21" s="60">
        <f>IF($A21="","",_xlfn.XLOOKUP($A21,'Item Master'!$A$4:$A$53,'Item Master'!$E$4:$E$53,0))</f>
        <v/>
      </c>
      <c r="E21" s="47">
        <f>IF($A21="","",$C21*$D21)</f>
        <v/>
      </c>
      <c r="F21" s="3" t="n"/>
    </row>
    <row r="22" ht="30" customHeight="1">
      <c r="A22" s="58">
        <f>IFERROR(INDEX('Log Transaction'!$C$4:$C$303,MATCH($B$7&amp;"|"&amp;11,'Log Transaction'!$G$4:$G$303,0)),"")</f>
        <v/>
      </c>
      <c r="B22" s="27">
        <f>IF($A22="","",_xlfn.XLOOKUP($A22,'Item Master'!$A$4:$A$53,'Item Master'!$B$4:$B$53,""))</f>
        <v/>
      </c>
      <c r="C22" s="59">
        <f>IFERROR(INDEX('Log Transaction'!$E$4:$E$303,MATCH($B$7&amp;"|"&amp;11,'Log Transaction'!$G$4:$G$303,0)),"")</f>
        <v/>
      </c>
      <c r="D22" s="60">
        <f>IF($A22="","",_xlfn.XLOOKUP($A22,'Item Master'!$A$4:$A$53,'Item Master'!$E$4:$E$53,0))</f>
        <v/>
      </c>
      <c r="E22" s="47">
        <f>IF($A22="","",$C22*$D22)</f>
        <v/>
      </c>
      <c r="F22" s="3" t="n"/>
    </row>
    <row r="23" ht="30" customHeight="1">
      <c r="A23" s="58">
        <f>IFERROR(INDEX('Log Transaction'!$C$4:$C$303,MATCH($B$7&amp;"|"&amp;12,'Log Transaction'!$G$4:$G$303,0)),"")</f>
        <v/>
      </c>
      <c r="B23" s="27">
        <f>IF($A23="","",_xlfn.XLOOKUP($A23,'Item Master'!$A$4:$A$53,'Item Master'!$B$4:$B$53,""))</f>
        <v/>
      </c>
      <c r="C23" s="59">
        <f>IFERROR(INDEX('Log Transaction'!$E$4:$E$303,MATCH($B$7&amp;"|"&amp;12,'Log Transaction'!$G$4:$G$303,0)),"")</f>
        <v/>
      </c>
      <c r="D23" s="60">
        <f>IF($A23="","",_xlfn.XLOOKUP($A23,'Item Master'!$A$4:$A$53,'Item Master'!$E$4:$E$53,0))</f>
        <v/>
      </c>
      <c r="E23" s="47">
        <f>IF($A23="","",$C23*$D23)</f>
        <v/>
      </c>
      <c r="F23" s="3" t="n"/>
    </row>
    <row r="24" ht="30" customHeight="1">
      <c r="A24" s="58">
        <f>IFERROR(INDEX('Log Transaction'!$C$4:$C$303,MATCH($B$7&amp;"|"&amp;13,'Log Transaction'!$G$4:$G$303,0)),"")</f>
        <v/>
      </c>
      <c r="B24" s="27">
        <f>IF($A24="","",_xlfn.XLOOKUP($A24,'Item Master'!$A$4:$A$53,'Item Master'!$B$4:$B$53,""))</f>
        <v/>
      </c>
      <c r="C24" s="59">
        <f>IFERROR(INDEX('Log Transaction'!$E$4:$E$303,MATCH($B$7&amp;"|"&amp;13,'Log Transaction'!$G$4:$G$303,0)),"")</f>
        <v/>
      </c>
      <c r="D24" s="60">
        <f>IF($A24="","",_xlfn.XLOOKUP($A24,'Item Master'!$A$4:$A$53,'Item Master'!$E$4:$E$53,0))</f>
        <v/>
      </c>
      <c r="E24" s="47">
        <f>IF($A24="","",$C24*$D24)</f>
        <v/>
      </c>
      <c r="F24" s="3" t="n"/>
    </row>
    <row r="25" ht="30" customHeight="1">
      <c r="A25" s="58">
        <f>IFERROR(INDEX('Log Transaction'!$C$4:$C$303,MATCH($B$7&amp;"|"&amp;14,'Log Transaction'!$G$4:$G$303,0)),"")</f>
        <v/>
      </c>
      <c r="B25" s="27">
        <f>IF($A25="","",_xlfn.XLOOKUP($A25,'Item Master'!$A$4:$A$53,'Item Master'!$B$4:$B$53,""))</f>
        <v/>
      </c>
      <c r="C25" s="59">
        <f>IFERROR(INDEX('Log Transaction'!$E$4:$E$303,MATCH($B$7&amp;"|"&amp;14,'Log Transaction'!$G$4:$G$303,0)),"")</f>
        <v/>
      </c>
      <c r="D25" s="60">
        <f>IF($A25="","",_xlfn.XLOOKUP($A25,'Item Master'!$A$4:$A$53,'Item Master'!$E$4:$E$53,0))</f>
        <v/>
      </c>
      <c r="E25" s="47">
        <f>IF($A25="","",$C25*$D25)</f>
        <v/>
      </c>
      <c r="F25" s="3" t="n"/>
    </row>
    <row r="26" ht="30" customHeight="1">
      <c r="A26" s="58">
        <f>IFERROR(INDEX('Log Transaction'!$C$4:$C$303,MATCH($B$7&amp;"|"&amp;15,'Log Transaction'!$G$4:$G$303,0)),"")</f>
        <v/>
      </c>
      <c r="B26" s="27">
        <f>IF($A26="","",_xlfn.XLOOKUP($A26,'Item Master'!$A$4:$A$53,'Item Master'!$B$4:$B$53,""))</f>
        <v/>
      </c>
      <c r="C26" s="59">
        <f>IFERROR(INDEX('Log Transaction'!$E$4:$E$303,MATCH($B$7&amp;"|"&amp;15,'Log Transaction'!$G$4:$G$303,0)),"")</f>
        <v/>
      </c>
      <c r="D26" s="60">
        <f>IF($A26="","",_xlfn.XLOOKUP($A26,'Item Master'!$A$4:$A$53,'Item Master'!$E$4:$E$53,0))</f>
        <v/>
      </c>
      <c r="E26" s="47">
        <f>IF($A26="","",$C26*$D26)</f>
        <v/>
      </c>
      <c r="F26" s="3" t="n"/>
    </row>
    <row r="27" ht="10" customHeight="1">
      <c r="A27" s="3" t="n"/>
      <c r="B27" s="3" t="n"/>
      <c r="C27" s="3" t="n"/>
      <c r="D27" s="3" t="n"/>
      <c r="E27" s="3" t="n"/>
      <c r="F27" s="3" t="n"/>
    </row>
    <row r="28" ht="34" customHeight="1">
      <c r="A28" s="3" t="n"/>
      <c r="B28" s="3" t="n"/>
      <c r="C28" s="54" t="inlineStr">
        <is>
          <t>Subtotal</t>
        </is>
      </c>
      <c r="E28" s="61">
        <f>SUM($E$12:$E$26)</f>
        <v/>
      </c>
      <c r="F28" s="3" t="n"/>
    </row>
    <row r="29" ht="34" customHeight="1">
      <c r="A29" s="3" t="n"/>
      <c r="B29" s="3" t="n"/>
      <c r="C29" s="54" t="inlineStr">
        <is>
          <t>Tax rate</t>
        </is>
      </c>
      <c r="E29" s="62">
        <f>Settings!$C$12</f>
        <v/>
      </c>
      <c r="F29" s="3" t="n"/>
    </row>
    <row r="30" ht="34" customHeight="1">
      <c r="A30" s="3" t="n"/>
      <c r="B30" s="3" t="n"/>
      <c r="C30" s="54" t="inlineStr">
        <is>
          <t>Tax amount</t>
        </is>
      </c>
      <c r="E30" s="61">
        <f>$E$28*$E$29</f>
        <v/>
      </c>
      <c r="F30" s="3" t="n"/>
    </row>
    <row r="31" ht="34" customHeight="1">
      <c r="A31" s="3" t="n"/>
      <c r="B31" s="3" t="n"/>
      <c r="C31" s="54" t="inlineStr">
        <is>
          <t>Discount</t>
        </is>
      </c>
      <c r="E31" s="63" t="n">
        <v>0</v>
      </c>
      <c r="F31" s="3" t="n"/>
    </row>
    <row r="32" ht="42" customHeight="1">
      <c r="A32" s="3" t="n"/>
      <c r="B32" s="3" t="n"/>
      <c r="C32" s="64" t="inlineStr">
        <is>
          <t>GRAND TOTAL</t>
        </is>
      </c>
      <c r="D32" s="65" t="n"/>
      <c r="E32" s="66">
        <f>$E$28+$E$30-$E$31</f>
        <v/>
      </c>
      <c r="F32" s="3" t="n"/>
    </row>
    <row r="33" ht="12" customHeight="1">
      <c r="A33" s="3" t="n"/>
      <c r="B33" s="3" t="n"/>
      <c r="C33" s="3" t="n"/>
      <c r="D33" s="3" t="n"/>
      <c r="E33" s="3" t="n"/>
      <c r="F33" s="3" t="n"/>
    </row>
    <row r="34" ht="26" customHeight="1">
      <c r="A34" s="67">
        <f>"Payment terms: "&amp;Settings!$C$16</f>
        <v/>
      </c>
      <c r="F34" s="3" t="n"/>
    </row>
    <row r="35" ht="26" customHeight="1">
      <c r="A35" s="51">
        <f>Settings!$C$17</f>
        <v/>
      </c>
      <c r="F35" s="3" t="n"/>
    </row>
    <row r="36" ht="34" customHeight="1">
      <c r="A36" s="68">
        <f>"Thank you for supporting "&amp;Settings!$C$8&amp;" 💛"</f>
        <v/>
      </c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  <row r="50">
      <c r="A50" s="3" t="n"/>
      <c r="B50" s="3" t="n"/>
      <c r="C50" s="3" t="n"/>
      <c r="D50" s="3" t="n"/>
      <c r="E50" s="3" t="n"/>
      <c r="F50" s="3" t="n"/>
    </row>
    <row r="51">
      <c r="A51" s="3" t="n"/>
      <c r="B51" s="3" t="n"/>
      <c r="C51" s="3" t="n"/>
      <c r="D51" s="3" t="n"/>
      <c r="E51" s="3" t="n"/>
      <c r="F51" s="3" t="n"/>
    </row>
    <row r="52">
      <c r="A52" s="3" t="n"/>
      <c r="B52" s="3" t="n"/>
      <c r="C52" s="3" t="n"/>
      <c r="D52" s="3" t="n"/>
      <c r="E52" s="3" t="n"/>
      <c r="F52" s="3" t="n"/>
    </row>
    <row r="53">
      <c r="A53" s="3" t="n"/>
      <c r="B53" s="3" t="n"/>
      <c r="C53" s="3" t="n"/>
      <c r="D53" s="3" t="n"/>
      <c r="E53" s="3" t="n"/>
      <c r="F53" s="3" t="n"/>
    </row>
    <row r="54">
      <c r="A54" s="3" t="n"/>
      <c r="B54" s="3" t="n"/>
      <c r="C54" s="3" t="n"/>
      <c r="D54" s="3" t="n"/>
      <c r="E54" s="3" t="n"/>
      <c r="F54" s="3" t="n"/>
    </row>
    <row r="55">
      <c r="A55" s="3" t="n"/>
      <c r="B55" s="3" t="n"/>
      <c r="C55" s="3" t="n"/>
      <c r="D55" s="3" t="n"/>
      <c r="E55" s="3" t="n"/>
      <c r="F55" s="3" t="n"/>
    </row>
    <row r="56">
      <c r="A56" s="3" t="n"/>
      <c r="B56" s="3" t="n"/>
      <c r="C56" s="3" t="n"/>
      <c r="D56" s="3" t="n"/>
      <c r="E56" s="3" t="n"/>
      <c r="F56" s="3" t="n"/>
    </row>
    <row r="57">
      <c r="A57" s="3" t="n"/>
      <c r="B57" s="3" t="n"/>
      <c r="C57" s="3" t="n"/>
      <c r="D57" s="3" t="n"/>
      <c r="E57" s="3" t="n"/>
      <c r="F57" s="3" t="n"/>
    </row>
    <row r="58">
      <c r="A58" s="3" t="n"/>
      <c r="B58" s="3" t="n"/>
      <c r="C58" s="3" t="n"/>
      <c r="D58" s="3" t="n"/>
      <c r="E58" s="3" t="n"/>
      <c r="F58" s="3" t="n"/>
    </row>
    <row r="59">
      <c r="A59" s="3" t="n"/>
      <c r="B59" s="3" t="n"/>
      <c r="C59" s="3" t="n"/>
      <c r="D59" s="3" t="n"/>
      <c r="E59" s="3" t="n"/>
      <c r="F59" s="3" t="n"/>
    </row>
    <row r="60">
      <c r="A60" s="3" t="n"/>
      <c r="B60" s="3" t="n"/>
      <c r="C60" s="3" t="n"/>
      <c r="D60" s="3" t="n"/>
      <c r="E60" s="3" t="n"/>
      <c r="F60" s="3" t="n"/>
    </row>
    <row r="61">
      <c r="A61" s="3" t="n"/>
      <c r="B61" s="3" t="n"/>
      <c r="C61" s="3" t="n"/>
      <c r="D61" s="3" t="n"/>
      <c r="E61" s="3" t="n"/>
      <c r="F61" s="3" t="n"/>
    </row>
    <row r="62">
      <c r="A62" s="3" t="n"/>
      <c r="B62" s="3" t="n"/>
      <c r="C62" s="3" t="n"/>
      <c r="D62" s="3" t="n"/>
      <c r="E62" s="3" t="n"/>
      <c r="F62" s="3" t="n"/>
    </row>
    <row r="63">
      <c r="A63" s="3" t="n"/>
      <c r="B63" s="3" t="n"/>
      <c r="C63" s="3" t="n"/>
      <c r="D63" s="3" t="n"/>
      <c r="E63" s="3" t="n"/>
      <c r="F63" s="3" t="n"/>
    </row>
    <row r="64">
      <c r="A64" s="3" t="n"/>
      <c r="B64" s="3" t="n"/>
      <c r="C64" s="3" t="n"/>
      <c r="D64" s="3" t="n"/>
      <c r="E64" s="3" t="n"/>
      <c r="F64" s="3" t="n"/>
    </row>
    <row r="65">
      <c r="A65" s="3" t="n"/>
      <c r="B65" s="3" t="n"/>
      <c r="C65" s="3" t="n"/>
      <c r="D65" s="3" t="n"/>
      <c r="E65" s="3" t="n"/>
      <c r="F65" s="3" t="n"/>
    </row>
    <row r="66">
      <c r="A66" s="3" t="n"/>
      <c r="B66" s="3" t="n"/>
      <c r="C66" s="3" t="n"/>
      <c r="D66" s="3" t="n"/>
      <c r="E66" s="3" t="n"/>
      <c r="F66" s="3" t="n"/>
    </row>
    <row r="67">
      <c r="A67" s="3" t="n"/>
      <c r="B67" s="3" t="n"/>
      <c r="C67" s="3" t="n"/>
      <c r="D67" s="3" t="n"/>
      <c r="E67" s="3" t="n"/>
      <c r="F67" s="3" t="n"/>
    </row>
    <row r="68">
      <c r="A68" s="3" t="n"/>
      <c r="B68" s="3" t="n"/>
      <c r="C68" s="3" t="n"/>
      <c r="D68" s="3" t="n"/>
      <c r="E68" s="3" t="n"/>
      <c r="F68" s="3" t="n"/>
    </row>
    <row r="69">
      <c r="A69" s="3" t="n"/>
      <c r="B69" s="3" t="n"/>
      <c r="C69" s="3" t="n"/>
      <c r="D69" s="3" t="n"/>
      <c r="E69" s="3" t="n"/>
      <c r="F69" s="3" t="n"/>
    </row>
    <row r="70">
      <c r="A70" s="3" t="n"/>
      <c r="B70" s="3" t="n"/>
      <c r="C70" s="3" t="n"/>
      <c r="D70" s="3" t="n"/>
      <c r="E70" s="3" t="n"/>
      <c r="F70" s="3" t="n"/>
    </row>
    <row r="71">
      <c r="A71" s="3" t="n"/>
      <c r="B71" s="3" t="n"/>
      <c r="C71" s="3" t="n"/>
      <c r="D71" s="3" t="n"/>
      <c r="E71" s="3" t="n"/>
      <c r="F71" s="3" t="n"/>
    </row>
    <row r="72">
      <c r="A72" s="3" t="n"/>
      <c r="B72" s="3" t="n"/>
      <c r="C72" s="3" t="n"/>
      <c r="D72" s="3" t="n"/>
      <c r="E72" s="3" t="n"/>
      <c r="F72" s="3" t="n"/>
    </row>
    <row r="73">
      <c r="A73" s="3" t="n"/>
      <c r="B73" s="3" t="n"/>
      <c r="C73" s="3" t="n"/>
      <c r="D73" s="3" t="n"/>
      <c r="E73" s="3" t="n"/>
      <c r="F73" s="3" t="n"/>
    </row>
    <row r="74">
      <c r="A74" s="3" t="n"/>
      <c r="B74" s="3" t="n"/>
      <c r="C74" s="3" t="n"/>
      <c r="D74" s="3" t="n"/>
      <c r="E74" s="3" t="n"/>
      <c r="F74" s="3" t="n"/>
    </row>
    <row r="75">
      <c r="A75" s="3" t="n"/>
      <c r="B75" s="3" t="n"/>
      <c r="C75" s="3" t="n"/>
      <c r="D75" s="3" t="n"/>
      <c r="E75" s="3" t="n"/>
      <c r="F75" s="3" t="n"/>
    </row>
    <row r="76">
      <c r="A76" s="3" t="n"/>
      <c r="B76" s="3" t="n"/>
      <c r="C76" s="3" t="n"/>
      <c r="D76" s="3" t="n"/>
      <c r="E76" s="3" t="n"/>
      <c r="F76" s="3" t="n"/>
    </row>
    <row r="77">
      <c r="A77" s="3" t="n"/>
      <c r="B77" s="3" t="n"/>
      <c r="C77" s="3" t="n"/>
      <c r="D77" s="3" t="n"/>
      <c r="E77" s="3" t="n"/>
      <c r="F77" s="3" t="n"/>
    </row>
    <row r="78">
      <c r="A78" s="3" t="n"/>
      <c r="B78" s="3" t="n"/>
      <c r="C78" s="3" t="n"/>
      <c r="D78" s="3" t="n"/>
      <c r="E78" s="3" t="n"/>
      <c r="F78" s="3" t="n"/>
    </row>
    <row r="79">
      <c r="A79" s="3" t="n"/>
      <c r="B79" s="3" t="n"/>
      <c r="C79" s="3" t="n"/>
      <c r="D79" s="3" t="n"/>
      <c r="E79" s="3" t="n"/>
      <c r="F79" s="3" t="n"/>
    </row>
    <row r="80">
      <c r="A80" s="3" t="n"/>
      <c r="B80" s="3" t="n"/>
      <c r="C80" s="3" t="n"/>
      <c r="D80" s="3" t="n"/>
      <c r="E80" s="3" t="n"/>
      <c r="F80" s="3" t="n"/>
    </row>
    <row r="81">
      <c r="A81" s="3" t="n"/>
      <c r="B81" s="3" t="n"/>
      <c r="C81" s="3" t="n"/>
      <c r="D81" s="3" t="n"/>
      <c r="E81" s="3" t="n"/>
      <c r="F81" s="3" t="n"/>
    </row>
    <row r="82">
      <c r="A82" s="3" t="n"/>
      <c r="B82" s="3" t="n"/>
      <c r="C82" s="3" t="n"/>
      <c r="D82" s="3" t="n"/>
      <c r="E82" s="3" t="n"/>
      <c r="F82" s="3" t="n"/>
    </row>
    <row r="83">
      <c r="A83" s="3" t="n"/>
      <c r="B83" s="3" t="n"/>
      <c r="C83" s="3" t="n"/>
      <c r="D83" s="3" t="n"/>
      <c r="E83" s="3" t="n"/>
      <c r="F83" s="3" t="n"/>
    </row>
    <row r="84">
      <c r="A84" s="3" t="n"/>
      <c r="B84" s="3" t="n"/>
      <c r="C84" s="3" t="n"/>
      <c r="D84" s="3" t="n"/>
      <c r="E84" s="3" t="n"/>
      <c r="F84" s="3" t="n"/>
    </row>
    <row r="85">
      <c r="A85" s="3" t="n"/>
      <c r="B85" s="3" t="n"/>
      <c r="C85" s="3" t="n"/>
      <c r="D85" s="3" t="n"/>
      <c r="E85" s="3" t="n"/>
      <c r="F85" s="3" t="n"/>
    </row>
    <row r="86">
      <c r="A86" s="3" t="n"/>
      <c r="B86" s="3" t="n"/>
      <c r="C86" s="3" t="n"/>
      <c r="D86" s="3" t="n"/>
      <c r="E86" s="3" t="n"/>
      <c r="F86" s="3" t="n"/>
    </row>
    <row r="87">
      <c r="A87" s="3" t="n"/>
      <c r="B87" s="3" t="n"/>
      <c r="C87" s="3" t="n"/>
      <c r="D87" s="3" t="n"/>
      <c r="E87" s="3" t="n"/>
      <c r="F87" s="3" t="n"/>
    </row>
    <row r="88">
      <c r="A88" s="3" t="n"/>
      <c r="B88" s="3" t="n"/>
      <c r="C88" s="3" t="n"/>
      <c r="D88" s="3" t="n"/>
      <c r="E88" s="3" t="n"/>
      <c r="F88" s="3" t="n"/>
    </row>
    <row r="89">
      <c r="A89" s="3" t="n"/>
      <c r="B89" s="3" t="n"/>
      <c r="C89" s="3" t="n"/>
      <c r="D89" s="3" t="n"/>
      <c r="E89" s="3" t="n"/>
      <c r="F89" s="3" t="n"/>
    </row>
    <row r="90">
      <c r="A90" s="3" t="n"/>
      <c r="B90" s="3" t="n"/>
      <c r="C90" s="3" t="n"/>
      <c r="D90" s="3" t="n"/>
      <c r="E90" s="3" t="n"/>
      <c r="F90" s="3" t="n"/>
    </row>
    <row r="91">
      <c r="A91" s="3" t="n"/>
      <c r="B91" s="3" t="n"/>
      <c r="C91" s="3" t="n"/>
      <c r="D91" s="3" t="n"/>
      <c r="E91" s="3" t="n"/>
      <c r="F91" s="3" t="n"/>
    </row>
    <row r="92">
      <c r="A92" s="3" t="n"/>
      <c r="B92" s="3" t="n"/>
      <c r="C92" s="3" t="n"/>
      <c r="D92" s="3" t="n"/>
      <c r="E92" s="3" t="n"/>
      <c r="F92" s="3" t="n"/>
    </row>
    <row r="93">
      <c r="A93" s="3" t="n"/>
      <c r="B93" s="3" t="n"/>
      <c r="C93" s="3" t="n"/>
      <c r="D93" s="3" t="n"/>
      <c r="E93" s="3" t="n"/>
      <c r="F93" s="3" t="n"/>
    </row>
    <row r="94">
      <c r="A94" s="3" t="n"/>
      <c r="B94" s="3" t="n"/>
      <c r="C94" s="3" t="n"/>
      <c r="D94" s="3" t="n"/>
      <c r="E94" s="3" t="n"/>
      <c r="F94" s="3" t="n"/>
    </row>
    <row r="95">
      <c r="A95" s="3" t="n"/>
      <c r="B95" s="3" t="n"/>
      <c r="C95" s="3" t="n"/>
      <c r="D95" s="3" t="n"/>
      <c r="E95" s="3" t="n"/>
      <c r="F95" s="3" t="n"/>
    </row>
    <row r="96">
      <c r="A96" s="3" t="n"/>
      <c r="B96" s="3" t="n"/>
      <c r="C96" s="3" t="n"/>
      <c r="D96" s="3" t="n"/>
      <c r="E96" s="3" t="n"/>
      <c r="F96" s="3" t="n"/>
    </row>
    <row r="97">
      <c r="A97" s="3" t="n"/>
      <c r="B97" s="3" t="n"/>
      <c r="C97" s="3" t="n"/>
      <c r="D97" s="3" t="n"/>
      <c r="E97" s="3" t="n"/>
      <c r="F97" s="3" t="n"/>
    </row>
    <row r="98">
      <c r="A98" s="3" t="n"/>
      <c r="B98" s="3" t="n"/>
      <c r="C98" s="3" t="n"/>
      <c r="D98" s="3" t="n"/>
      <c r="E98" s="3" t="n"/>
      <c r="F98" s="3" t="n"/>
    </row>
    <row r="99">
      <c r="A99" s="3" t="n"/>
      <c r="B99" s="3" t="n"/>
      <c r="C99" s="3" t="n"/>
      <c r="D99" s="3" t="n"/>
      <c r="E99" s="3" t="n"/>
      <c r="F99" s="3" t="n"/>
    </row>
    <row r="100">
      <c r="A100" s="3" t="n"/>
      <c r="B100" s="3" t="n"/>
      <c r="C100" s="3" t="n"/>
      <c r="D100" s="3" t="n"/>
      <c r="E100" s="3" t="n"/>
      <c r="F100" s="3" t="n"/>
    </row>
    <row r="101">
      <c r="A101" s="3" t="n"/>
      <c r="B101" s="3" t="n"/>
      <c r="C101" s="3" t="n"/>
      <c r="D101" s="3" t="n"/>
      <c r="E101" s="3" t="n"/>
      <c r="F101" s="3" t="n"/>
    </row>
    <row r="102">
      <c r="A102" s="3" t="n"/>
      <c r="B102" s="3" t="n"/>
      <c r="C102" s="3" t="n"/>
      <c r="D102" s="3" t="n"/>
      <c r="E102" s="3" t="n"/>
      <c r="F102" s="3" t="n"/>
    </row>
    <row r="103">
      <c r="A103" s="3" t="n"/>
      <c r="B103" s="3" t="n"/>
      <c r="C103" s="3" t="n"/>
      <c r="D103" s="3" t="n"/>
      <c r="E103" s="3" t="n"/>
      <c r="F103" s="3" t="n"/>
    </row>
    <row r="104">
      <c r="A104" s="3" t="n"/>
      <c r="B104" s="3" t="n"/>
      <c r="C104" s="3" t="n"/>
      <c r="D104" s="3" t="n"/>
      <c r="E104" s="3" t="n"/>
      <c r="F104" s="3" t="n"/>
    </row>
    <row r="105">
      <c r="A105" s="3" t="n"/>
      <c r="B105" s="3" t="n"/>
      <c r="C105" s="3" t="n"/>
      <c r="D105" s="3" t="n"/>
      <c r="E105" s="3" t="n"/>
      <c r="F105" s="3" t="n"/>
    </row>
    <row r="106">
      <c r="A106" s="3" t="n"/>
      <c r="B106" s="3" t="n"/>
      <c r="C106" s="3" t="n"/>
      <c r="D106" s="3" t="n"/>
      <c r="E106" s="3" t="n"/>
      <c r="F106" s="3" t="n"/>
    </row>
    <row r="107">
      <c r="A107" s="3" t="n"/>
      <c r="B107" s="3" t="n"/>
      <c r="C107" s="3" t="n"/>
      <c r="D107" s="3" t="n"/>
      <c r="E107" s="3" t="n"/>
      <c r="F107" s="3" t="n"/>
    </row>
    <row r="108">
      <c r="A108" s="3" t="n"/>
      <c r="B108" s="3" t="n"/>
      <c r="C108" s="3" t="n"/>
      <c r="D108" s="3" t="n"/>
      <c r="E108" s="3" t="n"/>
      <c r="F108" s="3" t="n"/>
    </row>
    <row r="109">
      <c r="A109" s="3" t="n"/>
      <c r="B109" s="3" t="n"/>
      <c r="C109" s="3" t="n"/>
      <c r="D109" s="3" t="n"/>
      <c r="E109" s="3" t="n"/>
      <c r="F109" s="3" t="n"/>
    </row>
    <row r="110">
      <c r="A110" s="3" t="n"/>
      <c r="B110" s="3" t="n"/>
      <c r="C110" s="3" t="n"/>
      <c r="D110" s="3" t="n"/>
      <c r="E110" s="3" t="n"/>
      <c r="F110" s="3" t="n"/>
    </row>
    <row r="111">
      <c r="A111" s="3" t="n"/>
      <c r="B111" s="3" t="n"/>
      <c r="C111" s="3" t="n"/>
      <c r="D111" s="3" t="n"/>
      <c r="E111" s="3" t="n"/>
      <c r="F111" s="3" t="n"/>
    </row>
    <row r="112">
      <c r="A112" s="3" t="n"/>
      <c r="B112" s="3" t="n"/>
      <c r="C112" s="3" t="n"/>
      <c r="D112" s="3" t="n"/>
      <c r="E112" s="3" t="n"/>
      <c r="F112" s="3" t="n"/>
    </row>
    <row r="113">
      <c r="A113" s="3" t="n"/>
      <c r="B113" s="3" t="n"/>
      <c r="C113" s="3" t="n"/>
      <c r="D113" s="3" t="n"/>
      <c r="E113" s="3" t="n"/>
      <c r="F113" s="3" t="n"/>
    </row>
    <row r="114">
      <c r="A114" s="3" t="n"/>
      <c r="B114" s="3" t="n"/>
      <c r="C114" s="3" t="n"/>
      <c r="D114" s="3" t="n"/>
      <c r="E114" s="3" t="n"/>
      <c r="F114" s="3" t="n"/>
    </row>
    <row r="115">
      <c r="A115" s="3" t="n"/>
      <c r="B115" s="3" t="n"/>
      <c r="C115" s="3" t="n"/>
      <c r="D115" s="3" t="n"/>
      <c r="E115" s="3" t="n"/>
      <c r="F115" s="3" t="n"/>
    </row>
    <row r="116">
      <c r="A116" s="3" t="n"/>
      <c r="B116" s="3" t="n"/>
      <c r="C116" s="3" t="n"/>
      <c r="D116" s="3" t="n"/>
      <c r="E116" s="3" t="n"/>
      <c r="F116" s="3" t="n"/>
    </row>
    <row r="117">
      <c r="A117" s="3" t="n"/>
      <c r="B117" s="3" t="n"/>
      <c r="C117" s="3" t="n"/>
      <c r="D117" s="3" t="n"/>
      <c r="E117" s="3" t="n"/>
      <c r="F117" s="3" t="n"/>
    </row>
    <row r="118">
      <c r="A118" s="3" t="n"/>
      <c r="B118" s="3" t="n"/>
      <c r="C118" s="3" t="n"/>
      <c r="D118" s="3" t="n"/>
      <c r="E118" s="3" t="n"/>
      <c r="F118" s="3" t="n"/>
    </row>
    <row r="119">
      <c r="A119" s="3" t="n"/>
      <c r="B119" s="3" t="n"/>
      <c r="C119" s="3" t="n"/>
      <c r="D119" s="3" t="n"/>
      <c r="E119" s="3" t="n"/>
      <c r="F119" s="3" t="n"/>
    </row>
    <row r="120">
      <c r="A120" s="3" t="n"/>
      <c r="B120" s="3" t="n"/>
      <c r="C120" s="3" t="n"/>
      <c r="D120" s="3" t="n"/>
      <c r="E120" s="3" t="n"/>
      <c r="F120" s="3" t="n"/>
    </row>
    <row r="121">
      <c r="A121" s="3" t="n"/>
      <c r="B121" s="3" t="n"/>
      <c r="C121" s="3" t="n"/>
      <c r="D121" s="3" t="n"/>
      <c r="E121" s="3" t="n"/>
      <c r="F121" s="3" t="n"/>
    </row>
    <row r="122">
      <c r="A122" s="3" t="n"/>
      <c r="B122" s="3" t="n"/>
      <c r="C122" s="3" t="n"/>
      <c r="D122" s="3" t="n"/>
      <c r="E122" s="3" t="n"/>
      <c r="F122" s="3" t="n"/>
    </row>
    <row r="123">
      <c r="A123" s="3" t="n"/>
      <c r="B123" s="3" t="n"/>
      <c r="C123" s="3" t="n"/>
      <c r="D123" s="3" t="n"/>
      <c r="E123" s="3" t="n"/>
      <c r="F123" s="3" t="n"/>
    </row>
    <row r="124">
      <c r="A124" s="3" t="n"/>
      <c r="B124" s="3" t="n"/>
      <c r="C124" s="3" t="n"/>
      <c r="D124" s="3" t="n"/>
      <c r="E124" s="3" t="n"/>
      <c r="F124" s="3" t="n"/>
    </row>
    <row r="125">
      <c r="A125" s="3" t="n"/>
      <c r="B125" s="3" t="n"/>
      <c r="C125" s="3" t="n"/>
      <c r="D125" s="3" t="n"/>
      <c r="E125" s="3" t="n"/>
      <c r="F125" s="3" t="n"/>
    </row>
    <row r="126">
      <c r="A126" s="3" t="n"/>
      <c r="B126" s="3" t="n"/>
      <c r="C126" s="3" t="n"/>
      <c r="D126" s="3" t="n"/>
      <c r="E126" s="3" t="n"/>
      <c r="F126" s="3" t="n"/>
    </row>
    <row r="127">
      <c r="A127" s="3" t="n"/>
      <c r="B127" s="3" t="n"/>
      <c r="C127" s="3" t="n"/>
      <c r="D127" s="3" t="n"/>
      <c r="E127" s="3" t="n"/>
      <c r="F127" s="3" t="n"/>
    </row>
    <row r="128">
      <c r="A128" s="3" t="n"/>
      <c r="B128" s="3" t="n"/>
      <c r="C128" s="3" t="n"/>
      <c r="D128" s="3" t="n"/>
      <c r="E128" s="3" t="n"/>
      <c r="F128" s="3" t="n"/>
    </row>
    <row r="129">
      <c r="A129" s="3" t="n"/>
      <c r="B129" s="3" t="n"/>
      <c r="C129" s="3" t="n"/>
      <c r="D129" s="3" t="n"/>
      <c r="E129" s="3" t="n"/>
      <c r="F129" s="3" t="n"/>
    </row>
    <row r="130">
      <c r="A130" s="3" t="n"/>
      <c r="B130" s="3" t="n"/>
      <c r="C130" s="3" t="n"/>
      <c r="D130" s="3" t="n"/>
      <c r="E130" s="3" t="n"/>
      <c r="F130" s="3" t="n"/>
    </row>
    <row r="131">
      <c r="A131" s="3" t="n"/>
      <c r="B131" s="3" t="n"/>
      <c r="C131" s="3" t="n"/>
      <c r="D131" s="3" t="n"/>
      <c r="E131" s="3" t="n"/>
      <c r="F131" s="3" t="n"/>
    </row>
    <row r="132">
      <c r="A132" s="3" t="n"/>
      <c r="B132" s="3" t="n"/>
      <c r="C132" s="3" t="n"/>
      <c r="D132" s="3" t="n"/>
      <c r="E132" s="3" t="n"/>
      <c r="F132" s="3" t="n"/>
    </row>
    <row r="133">
      <c r="A133" s="3" t="n"/>
      <c r="B133" s="3" t="n"/>
      <c r="C133" s="3" t="n"/>
      <c r="D133" s="3" t="n"/>
      <c r="E133" s="3" t="n"/>
      <c r="F133" s="3" t="n"/>
    </row>
    <row r="134">
      <c r="A134" s="3" t="n"/>
      <c r="B134" s="3" t="n"/>
      <c r="C134" s="3" t="n"/>
      <c r="D134" s="3" t="n"/>
      <c r="E134" s="3" t="n"/>
      <c r="F134" s="3" t="n"/>
    </row>
    <row r="135">
      <c r="A135" s="3" t="n"/>
      <c r="B135" s="3" t="n"/>
      <c r="C135" s="3" t="n"/>
      <c r="D135" s="3" t="n"/>
      <c r="E135" s="3" t="n"/>
      <c r="F135" s="3" t="n"/>
    </row>
    <row r="136">
      <c r="A136" s="3" t="n"/>
      <c r="B136" s="3" t="n"/>
      <c r="C136" s="3" t="n"/>
      <c r="D136" s="3" t="n"/>
      <c r="E136" s="3" t="n"/>
      <c r="F136" s="3" t="n"/>
    </row>
    <row r="137">
      <c r="A137" s="3" t="n"/>
      <c r="B137" s="3" t="n"/>
      <c r="C137" s="3" t="n"/>
      <c r="D137" s="3" t="n"/>
      <c r="E137" s="3" t="n"/>
      <c r="F137" s="3" t="n"/>
    </row>
    <row r="138">
      <c r="A138" s="3" t="n"/>
      <c r="B138" s="3" t="n"/>
      <c r="C138" s="3" t="n"/>
      <c r="D138" s="3" t="n"/>
      <c r="E138" s="3" t="n"/>
      <c r="F138" s="3" t="n"/>
    </row>
    <row r="139">
      <c r="A139" s="3" t="n"/>
      <c r="B139" s="3" t="n"/>
      <c r="C139" s="3" t="n"/>
      <c r="D139" s="3" t="n"/>
      <c r="E139" s="3" t="n"/>
      <c r="F139" s="3" t="n"/>
    </row>
    <row r="140">
      <c r="A140" s="3" t="n"/>
      <c r="B140" s="3" t="n"/>
      <c r="C140" s="3" t="n"/>
      <c r="D140" s="3" t="n"/>
      <c r="E140" s="3" t="n"/>
      <c r="F140" s="3" t="n"/>
    </row>
    <row r="141">
      <c r="A141" s="3" t="n"/>
      <c r="B141" s="3" t="n"/>
      <c r="C141" s="3" t="n"/>
      <c r="D141" s="3" t="n"/>
      <c r="E141" s="3" t="n"/>
      <c r="F141" s="3" t="n"/>
    </row>
    <row r="142">
      <c r="A142" s="3" t="n"/>
      <c r="B142" s="3" t="n"/>
      <c r="C142" s="3" t="n"/>
      <c r="D142" s="3" t="n"/>
      <c r="E142" s="3" t="n"/>
      <c r="F142" s="3" t="n"/>
    </row>
    <row r="143">
      <c r="A143" s="3" t="n"/>
      <c r="B143" s="3" t="n"/>
      <c r="C143" s="3" t="n"/>
      <c r="D143" s="3" t="n"/>
      <c r="E143" s="3" t="n"/>
      <c r="F143" s="3" t="n"/>
    </row>
    <row r="144">
      <c r="A144" s="3" t="n"/>
      <c r="B144" s="3" t="n"/>
      <c r="C144" s="3" t="n"/>
      <c r="D144" s="3" t="n"/>
      <c r="E144" s="3" t="n"/>
      <c r="F144" s="3" t="n"/>
    </row>
    <row r="145">
      <c r="A145" s="3" t="n"/>
      <c r="B145" s="3" t="n"/>
      <c r="C145" s="3" t="n"/>
      <c r="D145" s="3" t="n"/>
      <c r="E145" s="3" t="n"/>
      <c r="F145" s="3" t="n"/>
    </row>
    <row r="146">
      <c r="A146" s="3" t="n"/>
      <c r="B146" s="3" t="n"/>
      <c r="C146" s="3" t="n"/>
      <c r="D146" s="3" t="n"/>
      <c r="E146" s="3" t="n"/>
      <c r="F146" s="3" t="n"/>
    </row>
    <row r="147">
      <c r="A147" s="3" t="n"/>
      <c r="B147" s="3" t="n"/>
      <c r="C147" s="3" t="n"/>
      <c r="D147" s="3" t="n"/>
      <c r="E147" s="3" t="n"/>
      <c r="F147" s="3" t="n"/>
    </row>
    <row r="148">
      <c r="A148" s="3" t="n"/>
      <c r="B148" s="3" t="n"/>
      <c r="C148" s="3" t="n"/>
      <c r="D148" s="3" t="n"/>
      <c r="E148" s="3" t="n"/>
      <c r="F148" s="3" t="n"/>
    </row>
    <row r="149">
      <c r="A149" s="3" t="n"/>
      <c r="B149" s="3" t="n"/>
      <c r="C149" s="3" t="n"/>
      <c r="D149" s="3" t="n"/>
      <c r="E149" s="3" t="n"/>
      <c r="F149" s="3" t="n"/>
    </row>
    <row r="150">
      <c r="A150" s="3" t="n"/>
      <c r="B150" s="3" t="n"/>
      <c r="C150" s="3" t="n"/>
      <c r="D150" s="3" t="n"/>
      <c r="E150" s="3" t="n"/>
      <c r="F150" s="3" t="n"/>
    </row>
    <row r="151">
      <c r="A151" s="3" t="n"/>
      <c r="B151" s="3" t="n"/>
      <c r="C151" s="3" t="n"/>
      <c r="D151" s="3" t="n"/>
      <c r="E151" s="3" t="n"/>
      <c r="F151" s="3" t="n"/>
    </row>
    <row r="152">
      <c r="A152" s="3" t="n"/>
      <c r="B152" s="3" t="n"/>
      <c r="C152" s="3" t="n"/>
      <c r="D152" s="3" t="n"/>
      <c r="E152" s="3" t="n"/>
      <c r="F152" s="3" t="n"/>
    </row>
    <row r="153">
      <c r="A153" s="3" t="n"/>
      <c r="B153" s="3" t="n"/>
      <c r="C153" s="3" t="n"/>
      <c r="D153" s="3" t="n"/>
      <c r="E153" s="3" t="n"/>
      <c r="F153" s="3" t="n"/>
    </row>
    <row r="154">
      <c r="A154" s="3" t="n"/>
      <c r="B154" s="3" t="n"/>
      <c r="C154" s="3" t="n"/>
      <c r="D154" s="3" t="n"/>
      <c r="E154" s="3" t="n"/>
      <c r="F154" s="3" t="n"/>
    </row>
    <row r="155">
      <c r="A155" s="3" t="n"/>
      <c r="B155" s="3" t="n"/>
      <c r="C155" s="3" t="n"/>
      <c r="D155" s="3" t="n"/>
      <c r="E155" s="3" t="n"/>
      <c r="F155" s="3" t="n"/>
    </row>
    <row r="156">
      <c r="A156" s="3" t="n"/>
      <c r="B156" s="3" t="n"/>
      <c r="C156" s="3" t="n"/>
      <c r="D156" s="3" t="n"/>
      <c r="E156" s="3" t="n"/>
      <c r="F156" s="3" t="n"/>
    </row>
    <row r="157">
      <c r="A157" s="3" t="n"/>
      <c r="B157" s="3" t="n"/>
      <c r="C157" s="3" t="n"/>
      <c r="D157" s="3" t="n"/>
      <c r="E157" s="3" t="n"/>
      <c r="F157" s="3" t="n"/>
    </row>
    <row r="158">
      <c r="A158" s="3" t="n"/>
      <c r="B158" s="3" t="n"/>
      <c r="C158" s="3" t="n"/>
      <c r="D158" s="3" t="n"/>
      <c r="E158" s="3" t="n"/>
      <c r="F158" s="3" t="n"/>
    </row>
    <row r="159">
      <c r="A159" s="3" t="n"/>
      <c r="B159" s="3" t="n"/>
      <c r="C159" s="3" t="n"/>
      <c r="D159" s="3" t="n"/>
      <c r="E159" s="3" t="n"/>
      <c r="F159" s="3" t="n"/>
    </row>
    <row r="160">
      <c r="A160" s="3" t="n"/>
      <c r="B160" s="3" t="n"/>
      <c r="C160" s="3" t="n"/>
      <c r="D160" s="3" t="n"/>
      <c r="E160" s="3" t="n"/>
      <c r="F160" s="3" t="n"/>
    </row>
    <row r="161">
      <c r="A161" s="3" t="n"/>
      <c r="B161" s="3" t="n"/>
      <c r="C161" s="3" t="n"/>
      <c r="D161" s="3" t="n"/>
      <c r="E161" s="3" t="n"/>
      <c r="F161" s="3" t="n"/>
    </row>
    <row r="162">
      <c r="A162" s="3" t="n"/>
      <c r="B162" s="3" t="n"/>
      <c r="C162" s="3" t="n"/>
      <c r="D162" s="3" t="n"/>
      <c r="E162" s="3" t="n"/>
      <c r="F162" s="3" t="n"/>
    </row>
    <row r="163">
      <c r="A163" s="3" t="n"/>
      <c r="B163" s="3" t="n"/>
      <c r="C163" s="3" t="n"/>
      <c r="D163" s="3" t="n"/>
      <c r="E163" s="3" t="n"/>
      <c r="F163" s="3" t="n"/>
    </row>
    <row r="164">
      <c r="A164" s="3" t="n"/>
      <c r="B164" s="3" t="n"/>
      <c r="C164" s="3" t="n"/>
      <c r="D164" s="3" t="n"/>
      <c r="E164" s="3" t="n"/>
      <c r="F164" s="3" t="n"/>
    </row>
    <row r="165">
      <c r="A165" s="3" t="n"/>
      <c r="B165" s="3" t="n"/>
      <c r="C165" s="3" t="n"/>
      <c r="D165" s="3" t="n"/>
      <c r="E165" s="3" t="n"/>
      <c r="F165" s="3" t="n"/>
    </row>
    <row r="166">
      <c r="A166" s="3" t="n"/>
      <c r="B166" s="3" t="n"/>
      <c r="C166" s="3" t="n"/>
      <c r="D166" s="3" t="n"/>
      <c r="E166" s="3" t="n"/>
      <c r="F166" s="3" t="n"/>
    </row>
    <row r="167">
      <c r="A167" s="3" t="n"/>
      <c r="B167" s="3" t="n"/>
      <c r="C167" s="3" t="n"/>
      <c r="D167" s="3" t="n"/>
      <c r="E167" s="3" t="n"/>
      <c r="F167" s="3" t="n"/>
    </row>
    <row r="168">
      <c r="A168" s="3" t="n"/>
      <c r="B168" s="3" t="n"/>
      <c r="C168" s="3" t="n"/>
      <c r="D168" s="3" t="n"/>
      <c r="E168" s="3" t="n"/>
      <c r="F168" s="3" t="n"/>
    </row>
    <row r="169">
      <c r="A169" s="3" t="n"/>
      <c r="B169" s="3" t="n"/>
      <c r="C169" s="3" t="n"/>
      <c r="D169" s="3" t="n"/>
      <c r="E169" s="3" t="n"/>
      <c r="F169" s="3" t="n"/>
    </row>
    <row r="170">
      <c r="A170" s="3" t="n"/>
      <c r="B170" s="3" t="n"/>
      <c r="C170" s="3" t="n"/>
      <c r="D170" s="3" t="n"/>
      <c r="E170" s="3" t="n"/>
      <c r="F170" s="3" t="n"/>
    </row>
    <row r="171">
      <c r="A171" s="3" t="n"/>
      <c r="B171" s="3" t="n"/>
      <c r="C171" s="3" t="n"/>
      <c r="D171" s="3" t="n"/>
      <c r="E171" s="3" t="n"/>
      <c r="F171" s="3" t="n"/>
    </row>
    <row r="172">
      <c r="A172" s="3" t="n"/>
      <c r="B172" s="3" t="n"/>
      <c r="C172" s="3" t="n"/>
      <c r="D172" s="3" t="n"/>
      <c r="E172" s="3" t="n"/>
      <c r="F172" s="3" t="n"/>
    </row>
    <row r="173">
      <c r="A173" s="3" t="n"/>
      <c r="B173" s="3" t="n"/>
      <c r="C173" s="3" t="n"/>
      <c r="D173" s="3" t="n"/>
      <c r="E173" s="3" t="n"/>
      <c r="F173" s="3" t="n"/>
    </row>
    <row r="174">
      <c r="A174" s="3" t="n"/>
      <c r="B174" s="3" t="n"/>
      <c r="C174" s="3" t="n"/>
      <c r="D174" s="3" t="n"/>
      <c r="E174" s="3" t="n"/>
      <c r="F174" s="3" t="n"/>
    </row>
    <row r="175">
      <c r="A175" s="3" t="n"/>
      <c r="B175" s="3" t="n"/>
      <c r="C175" s="3" t="n"/>
      <c r="D175" s="3" t="n"/>
      <c r="E175" s="3" t="n"/>
      <c r="F175" s="3" t="n"/>
    </row>
    <row r="176">
      <c r="A176" s="3" t="n"/>
      <c r="B176" s="3" t="n"/>
      <c r="C176" s="3" t="n"/>
      <c r="D176" s="3" t="n"/>
      <c r="E176" s="3" t="n"/>
      <c r="F176" s="3" t="n"/>
    </row>
    <row r="177">
      <c r="A177" s="3" t="n"/>
      <c r="B177" s="3" t="n"/>
      <c r="C177" s="3" t="n"/>
      <c r="D177" s="3" t="n"/>
      <c r="E177" s="3" t="n"/>
      <c r="F177" s="3" t="n"/>
    </row>
    <row r="178">
      <c r="A178" s="3" t="n"/>
      <c r="B178" s="3" t="n"/>
      <c r="C178" s="3" t="n"/>
      <c r="D178" s="3" t="n"/>
      <c r="E178" s="3" t="n"/>
      <c r="F178" s="3" t="n"/>
    </row>
    <row r="179">
      <c r="A179" s="3" t="n"/>
      <c r="B179" s="3" t="n"/>
      <c r="C179" s="3" t="n"/>
      <c r="D179" s="3" t="n"/>
      <c r="E179" s="3" t="n"/>
      <c r="F179" s="3" t="n"/>
    </row>
    <row r="180">
      <c r="A180" s="3" t="n"/>
      <c r="B180" s="3" t="n"/>
      <c r="C180" s="3" t="n"/>
      <c r="D180" s="3" t="n"/>
      <c r="E180" s="3" t="n"/>
      <c r="F180" s="3" t="n"/>
    </row>
    <row r="181">
      <c r="A181" s="3" t="n"/>
      <c r="B181" s="3" t="n"/>
      <c r="C181" s="3" t="n"/>
      <c r="D181" s="3" t="n"/>
      <c r="E181" s="3" t="n"/>
      <c r="F181" s="3" t="n"/>
    </row>
    <row r="182">
      <c r="A182" s="3" t="n"/>
      <c r="B182" s="3" t="n"/>
      <c r="C182" s="3" t="n"/>
      <c r="D182" s="3" t="n"/>
      <c r="E182" s="3" t="n"/>
      <c r="F182" s="3" t="n"/>
    </row>
    <row r="183">
      <c r="A183" s="3" t="n"/>
      <c r="B183" s="3" t="n"/>
      <c r="C183" s="3" t="n"/>
      <c r="D183" s="3" t="n"/>
      <c r="E183" s="3" t="n"/>
      <c r="F183" s="3" t="n"/>
    </row>
    <row r="184">
      <c r="A184" s="3" t="n"/>
      <c r="B184" s="3" t="n"/>
      <c r="C184" s="3" t="n"/>
      <c r="D184" s="3" t="n"/>
      <c r="E184" s="3" t="n"/>
      <c r="F184" s="3" t="n"/>
    </row>
    <row r="185">
      <c r="A185" s="3" t="n"/>
      <c r="B185" s="3" t="n"/>
      <c r="C185" s="3" t="n"/>
      <c r="D185" s="3" t="n"/>
      <c r="E185" s="3" t="n"/>
      <c r="F185" s="3" t="n"/>
    </row>
    <row r="186">
      <c r="A186" s="3" t="n"/>
      <c r="B186" s="3" t="n"/>
      <c r="C186" s="3" t="n"/>
      <c r="D186" s="3" t="n"/>
      <c r="E186" s="3" t="n"/>
      <c r="F186" s="3" t="n"/>
    </row>
    <row r="187">
      <c r="A187" s="3" t="n"/>
      <c r="B187" s="3" t="n"/>
      <c r="C187" s="3" t="n"/>
      <c r="D187" s="3" t="n"/>
      <c r="E187" s="3" t="n"/>
      <c r="F187" s="3" t="n"/>
    </row>
    <row r="188">
      <c r="A188" s="3" t="n"/>
      <c r="B188" s="3" t="n"/>
      <c r="C188" s="3" t="n"/>
      <c r="D188" s="3" t="n"/>
      <c r="E188" s="3" t="n"/>
      <c r="F188" s="3" t="n"/>
    </row>
    <row r="189">
      <c r="A189" s="3" t="n"/>
      <c r="B189" s="3" t="n"/>
      <c r="C189" s="3" t="n"/>
      <c r="D189" s="3" t="n"/>
      <c r="E189" s="3" t="n"/>
      <c r="F189" s="3" t="n"/>
    </row>
    <row r="190">
      <c r="A190" s="3" t="n"/>
      <c r="B190" s="3" t="n"/>
      <c r="C190" s="3" t="n"/>
      <c r="D190" s="3" t="n"/>
      <c r="E190" s="3" t="n"/>
      <c r="F190" s="3" t="n"/>
    </row>
    <row r="191">
      <c r="A191" s="3" t="n"/>
      <c r="B191" s="3" t="n"/>
      <c r="C191" s="3" t="n"/>
      <c r="D191" s="3" t="n"/>
      <c r="E191" s="3" t="n"/>
      <c r="F191" s="3" t="n"/>
    </row>
    <row r="192">
      <c r="A192" s="3" t="n"/>
      <c r="B192" s="3" t="n"/>
      <c r="C192" s="3" t="n"/>
      <c r="D192" s="3" t="n"/>
      <c r="E192" s="3" t="n"/>
      <c r="F192" s="3" t="n"/>
    </row>
    <row r="193">
      <c r="A193" s="3" t="n"/>
      <c r="B193" s="3" t="n"/>
      <c r="C193" s="3" t="n"/>
      <c r="D193" s="3" t="n"/>
      <c r="E193" s="3" t="n"/>
      <c r="F193" s="3" t="n"/>
    </row>
    <row r="194">
      <c r="A194" s="3" t="n"/>
      <c r="B194" s="3" t="n"/>
      <c r="C194" s="3" t="n"/>
      <c r="D194" s="3" t="n"/>
      <c r="E194" s="3" t="n"/>
      <c r="F194" s="3" t="n"/>
    </row>
    <row r="195">
      <c r="A195" s="3" t="n"/>
      <c r="B195" s="3" t="n"/>
      <c r="C195" s="3" t="n"/>
      <c r="D195" s="3" t="n"/>
      <c r="E195" s="3" t="n"/>
      <c r="F195" s="3" t="n"/>
    </row>
    <row r="196">
      <c r="A196" s="3" t="n"/>
      <c r="B196" s="3" t="n"/>
      <c r="C196" s="3" t="n"/>
      <c r="D196" s="3" t="n"/>
      <c r="E196" s="3" t="n"/>
      <c r="F196" s="3" t="n"/>
    </row>
    <row r="197">
      <c r="A197" s="3" t="n"/>
      <c r="B197" s="3" t="n"/>
      <c r="C197" s="3" t="n"/>
      <c r="D197" s="3" t="n"/>
      <c r="E197" s="3" t="n"/>
      <c r="F197" s="3" t="n"/>
    </row>
    <row r="198">
      <c r="A198" s="3" t="n"/>
      <c r="B198" s="3" t="n"/>
      <c r="C198" s="3" t="n"/>
      <c r="D198" s="3" t="n"/>
      <c r="E198" s="3" t="n"/>
      <c r="F198" s="3" t="n"/>
    </row>
    <row r="199">
      <c r="A199" s="3" t="n"/>
      <c r="B199" s="3" t="n"/>
      <c r="C199" s="3" t="n"/>
      <c r="D199" s="3" t="n"/>
      <c r="E199" s="3" t="n"/>
      <c r="F199" s="3" t="n"/>
    </row>
    <row r="200">
      <c r="A200" s="3" t="n"/>
      <c r="B200" s="3" t="n"/>
      <c r="C200" s="3" t="n"/>
      <c r="D200" s="3" t="n"/>
      <c r="E200" s="3" t="n"/>
      <c r="F200" s="3" t="n"/>
    </row>
    <row r="201">
      <c r="A201" s="3" t="n"/>
      <c r="B201" s="3" t="n"/>
      <c r="C201" s="3" t="n"/>
      <c r="D201" s="3" t="n"/>
      <c r="E201" s="3" t="n"/>
      <c r="F201" s="3" t="n"/>
    </row>
    <row r="202">
      <c r="A202" s="3" t="n"/>
      <c r="B202" s="3" t="n"/>
      <c r="C202" s="3" t="n"/>
      <c r="D202" s="3" t="n"/>
      <c r="E202" s="3" t="n"/>
      <c r="F202" s="3" t="n"/>
    </row>
    <row r="203">
      <c r="A203" s="3" t="n"/>
      <c r="B203" s="3" t="n"/>
      <c r="C203" s="3" t="n"/>
      <c r="D203" s="3" t="n"/>
      <c r="E203" s="3" t="n"/>
      <c r="F203" s="3" t="n"/>
    </row>
    <row r="204">
      <c r="A204" s="3" t="n"/>
      <c r="B204" s="3" t="n"/>
      <c r="C204" s="3" t="n"/>
      <c r="D204" s="3" t="n"/>
      <c r="E204" s="3" t="n"/>
      <c r="F204" s="3" t="n"/>
    </row>
    <row r="205">
      <c r="A205" s="3" t="n"/>
      <c r="B205" s="3" t="n"/>
      <c r="C205" s="3" t="n"/>
      <c r="D205" s="3" t="n"/>
      <c r="E205" s="3" t="n"/>
      <c r="F205" s="3" t="n"/>
    </row>
    <row r="206">
      <c r="A206" s="3" t="n"/>
      <c r="B206" s="3" t="n"/>
      <c r="C206" s="3" t="n"/>
      <c r="D206" s="3" t="n"/>
      <c r="E206" s="3" t="n"/>
      <c r="F206" s="3" t="n"/>
    </row>
    <row r="207">
      <c r="A207" s="3" t="n"/>
      <c r="B207" s="3" t="n"/>
      <c r="C207" s="3" t="n"/>
      <c r="D207" s="3" t="n"/>
      <c r="E207" s="3" t="n"/>
      <c r="F207" s="3" t="n"/>
    </row>
    <row r="208">
      <c r="A208" s="3" t="n"/>
      <c r="B208" s="3" t="n"/>
      <c r="C208" s="3" t="n"/>
      <c r="D208" s="3" t="n"/>
      <c r="E208" s="3" t="n"/>
      <c r="F208" s="3" t="n"/>
    </row>
    <row r="209">
      <c r="A209" s="3" t="n"/>
      <c r="B209" s="3" t="n"/>
      <c r="C209" s="3" t="n"/>
      <c r="D209" s="3" t="n"/>
      <c r="E209" s="3" t="n"/>
      <c r="F209" s="3" t="n"/>
    </row>
    <row r="210">
      <c r="A210" s="3" t="n"/>
      <c r="B210" s="3" t="n"/>
      <c r="C210" s="3" t="n"/>
      <c r="D210" s="3" t="n"/>
      <c r="E210" s="3" t="n"/>
      <c r="F210" s="3" t="n"/>
    </row>
    <row r="211">
      <c r="A211" s="3" t="n"/>
      <c r="B211" s="3" t="n"/>
      <c r="C211" s="3" t="n"/>
      <c r="D211" s="3" t="n"/>
      <c r="E211" s="3" t="n"/>
      <c r="F211" s="3" t="n"/>
    </row>
    <row r="212">
      <c r="A212" s="3" t="n"/>
      <c r="B212" s="3" t="n"/>
      <c r="C212" s="3" t="n"/>
      <c r="D212" s="3" t="n"/>
      <c r="E212" s="3" t="n"/>
      <c r="F212" s="3" t="n"/>
    </row>
    <row r="213">
      <c r="A213" s="3" t="n"/>
      <c r="B213" s="3" t="n"/>
      <c r="C213" s="3" t="n"/>
      <c r="D213" s="3" t="n"/>
      <c r="E213" s="3" t="n"/>
      <c r="F213" s="3" t="n"/>
    </row>
    <row r="214">
      <c r="A214" s="3" t="n"/>
      <c r="B214" s="3" t="n"/>
      <c r="C214" s="3" t="n"/>
      <c r="D214" s="3" t="n"/>
      <c r="E214" s="3" t="n"/>
      <c r="F214" s="3" t="n"/>
    </row>
    <row r="215">
      <c r="A215" s="3" t="n"/>
      <c r="B215" s="3" t="n"/>
      <c r="C215" s="3" t="n"/>
      <c r="D215" s="3" t="n"/>
      <c r="E215" s="3" t="n"/>
      <c r="F215" s="3" t="n"/>
    </row>
    <row r="216">
      <c r="A216" s="3" t="n"/>
      <c r="B216" s="3" t="n"/>
      <c r="C216" s="3" t="n"/>
      <c r="D216" s="3" t="n"/>
      <c r="E216" s="3" t="n"/>
      <c r="F216" s="3" t="n"/>
    </row>
    <row r="217">
      <c r="A217" s="3" t="n"/>
      <c r="B217" s="3" t="n"/>
      <c r="C217" s="3" t="n"/>
      <c r="D217" s="3" t="n"/>
      <c r="E217" s="3" t="n"/>
      <c r="F217" s="3" t="n"/>
    </row>
    <row r="218">
      <c r="A218" s="3" t="n"/>
      <c r="B218" s="3" t="n"/>
      <c r="C218" s="3" t="n"/>
      <c r="D218" s="3" t="n"/>
      <c r="E218" s="3" t="n"/>
      <c r="F218" s="3" t="n"/>
    </row>
    <row r="219">
      <c r="A219" s="3" t="n"/>
      <c r="B219" s="3" t="n"/>
      <c r="C219" s="3" t="n"/>
      <c r="D219" s="3" t="n"/>
      <c r="E219" s="3" t="n"/>
      <c r="F219" s="3" t="n"/>
    </row>
    <row r="220">
      <c r="A220" s="3" t="n"/>
      <c r="B220" s="3" t="n"/>
      <c r="C220" s="3" t="n"/>
      <c r="D220" s="3" t="n"/>
      <c r="E220" s="3" t="n"/>
      <c r="F220" s="3" t="n"/>
    </row>
    <row r="221">
      <c r="A221" s="3" t="n"/>
      <c r="B221" s="3" t="n"/>
      <c r="C221" s="3" t="n"/>
      <c r="D221" s="3" t="n"/>
      <c r="E221" s="3" t="n"/>
      <c r="F221" s="3" t="n"/>
    </row>
    <row r="222">
      <c r="A222" s="3" t="n"/>
      <c r="B222" s="3" t="n"/>
      <c r="C222" s="3" t="n"/>
      <c r="D222" s="3" t="n"/>
      <c r="E222" s="3" t="n"/>
      <c r="F222" s="3" t="n"/>
    </row>
    <row r="223">
      <c r="A223" s="3" t="n"/>
      <c r="B223" s="3" t="n"/>
      <c r="C223" s="3" t="n"/>
      <c r="D223" s="3" t="n"/>
      <c r="E223" s="3" t="n"/>
      <c r="F223" s="3" t="n"/>
    </row>
    <row r="224">
      <c r="A224" s="3" t="n"/>
      <c r="B224" s="3" t="n"/>
      <c r="C224" s="3" t="n"/>
      <c r="D224" s="3" t="n"/>
      <c r="E224" s="3" t="n"/>
      <c r="F224" s="3" t="n"/>
    </row>
    <row r="225">
      <c r="A225" s="3" t="n"/>
      <c r="B225" s="3" t="n"/>
      <c r="C225" s="3" t="n"/>
      <c r="D225" s="3" t="n"/>
      <c r="E225" s="3" t="n"/>
      <c r="F225" s="3" t="n"/>
    </row>
    <row r="226">
      <c r="A226" s="3" t="n"/>
      <c r="B226" s="3" t="n"/>
      <c r="C226" s="3" t="n"/>
      <c r="D226" s="3" t="n"/>
      <c r="E226" s="3" t="n"/>
      <c r="F226" s="3" t="n"/>
    </row>
    <row r="227">
      <c r="A227" s="3" t="n"/>
      <c r="B227" s="3" t="n"/>
      <c r="C227" s="3" t="n"/>
      <c r="D227" s="3" t="n"/>
      <c r="E227" s="3" t="n"/>
      <c r="F227" s="3" t="n"/>
    </row>
    <row r="228">
      <c r="A228" s="3" t="n"/>
      <c r="B228" s="3" t="n"/>
      <c r="C228" s="3" t="n"/>
      <c r="D228" s="3" t="n"/>
      <c r="E228" s="3" t="n"/>
      <c r="F228" s="3" t="n"/>
    </row>
    <row r="229">
      <c r="A229" s="3" t="n"/>
      <c r="B229" s="3" t="n"/>
      <c r="C229" s="3" t="n"/>
      <c r="D229" s="3" t="n"/>
      <c r="E229" s="3" t="n"/>
      <c r="F229" s="3" t="n"/>
    </row>
    <row r="230">
      <c r="A230" s="3" t="n"/>
      <c r="B230" s="3" t="n"/>
      <c r="C230" s="3" t="n"/>
      <c r="D230" s="3" t="n"/>
      <c r="E230" s="3" t="n"/>
      <c r="F230" s="3" t="n"/>
    </row>
    <row r="231">
      <c r="A231" s="3" t="n"/>
      <c r="B231" s="3" t="n"/>
      <c r="C231" s="3" t="n"/>
      <c r="D231" s="3" t="n"/>
      <c r="E231" s="3" t="n"/>
      <c r="F231" s="3" t="n"/>
    </row>
    <row r="232">
      <c r="A232" s="3" t="n"/>
      <c r="B232" s="3" t="n"/>
      <c r="C232" s="3" t="n"/>
      <c r="D232" s="3" t="n"/>
      <c r="E232" s="3" t="n"/>
      <c r="F232" s="3" t="n"/>
    </row>
    <row r="233">
      <c r="A233" s="3" t="n"/>
      <c r="B233" s="3" t="n"/>
      <c r="C233" s="3" t="n"/>
      <c r="D233" s="3" t="n"/>
      <c r="E233" s="3" t="n"/>
      <c r="F233" s="3" t="n"/>
    </row>
    <row r="234">
      <c r="A234" s="3" t="n"/>
      <c r="B234" s="3" t="n"/>
      <c r="C234" s="3" t="n"/>
      <c r="D234" s="3" t="n"/>
      <c r="E234" s="3" t="n"/>
      <c r="F234" s="3" t="n"/>
    </row>
    <row r="235">
      <c r="A235" s="3" t="n"/>
      <c r="B235" s="3" t="n"/>
      <c r="C235" s="3" t="n"/>
      <c r="D235" s="3" t="n"/>
      <c r="E235" s="3" t="n"/>
      <c r="F235" s="3" t="n"/>
    </row>
    <row r="236">
      <c r="A236" s="3" t="n"/>
      <c r="B236" s="3" t="n"/>
      <c r="C236" s="3" t="n"/>
      <c r="D236" s="3" t="n"/>
      <c r="E236" s="3" t="n"/>
      <c r="F236" s="3" t="n"/>
    </row>
    <row r="237">
      <c r="A237" s="3" t="n"/>
      <c r="B237" s="3" t="n"/>
      <c r="C237" s="3" t="n"/>
      <c r="D237" s="3" t="n"/>
      <c r="E237" s="3" t="n"/>
      <c r="F237" s="3" t="n"/>
    </row>
    <row r="238">
      <c r="A238" s="3" t="n"/>
      <c r="B238" s="3" t="n"/>
      <c r="C238" s="3" t="n"/>
      <c r="D238" s="3" t="n"/>
      <c r="E238" s="3" t="n"/>
      <c r="F238" s="3" t="n"/>
    </row>
    <row r="239">
      <c r="A239" s="3" t="n"/>
      <c r="B239" s="3" t="n"/>
      <c r="C239" s="3" t="n"/>
      <c r="D239" s="3" t="n"/>
      <c r="E239" s="3" t="n"/>
      <c r="F239" s="3" t="n"/>
    </row>
    <row r="240">
      <c r="A240" s="3" t="n"/>
      <c r="B240" s="3" t="n"/>
      <c r="C240" s="3" t="n"/>
      <c r="D240" s="3" t="n"/>
      <c r="E240" s="3" t="n"/>
      <c r="F240" s="3" t="n"/>
    </row>
    <row r="241">
      <c r="A241" s="3" t="n"/>
      <c r="B241" s="3" t="n"/>
      <c r="C241" s="3" t="n"/>
      <c r="D241" s="3" t="n"/>
      <c r="E241" s="3" t="n"/>
      <c r="F241" s="3" t="n"/>
    </row>
    <row r="242">
      <c r="A242" s="3" t="n"/>
      <c r="B242" s="3" t="n"/>
      <c r="C242" s="3" t="n"/>
      <c r="D242" s="3" t="n"/>
      <c r="E242" s="3" t="n"/>
      <c r="F242" s="3" t="n"/>
    </row>
    <row r="243">
      <c r="A243" s="3" t="n"/>
      <c r="B243" s="3" t="n"/>
      <c r="C243" s="3" t="n"/>
      <c r="D243" s="3" t="n"/>
      <c r="E243" s="3" t="n"/>
      <c r="F243" s="3" t="n"/>
    </row>
    <row r="244">
      <c r="A244" s="3" t="n"/>
      <c r="B244" s="3" t="n"/>
      <c r="C244" s="3" t="n"/>
      <c r="D244" s="3" t="n"/>
      <c r="E244" s="3" t="n"/>
      <c r="F244" s="3" t="n"/>
    </row>
    <row r="245">
      <c r="A245" s="3" t="n"/>
      <c r="B245" s="3" t="n"/>
      <c r="C245" s="3" t="n"/>
      <c r="D245" s="3" t="n"/>
      <c r="E245" s="3" t="n"/>
      <c r="F245" s="3" t="n"/>
    </row>
    <row r="246">
      <c r="A246" s="3" t="n"/>
      <c r="B246" s="3" t="n"/>
      <c r="C246" s="3" t="n"/>
      <c r="D246" s="3" t="n"/>
      <c r="E246" s="3" t="n"/>
      <c r="F246" s="3" t="n"/>
    </row>
    <row r="247">
      <c r="A247" s="3" t="n"/>
      <c r="B247" s="3" t="n"/>
      <c r="C247" s="3" t="n"/>
      <c r="D247" s="3" t="n"/>
      <c r="E247" s="3" t="n"/>
      <c r="F247" s="3" t="n"/>
    </row>
    <row r="248">
      <c r="A248" s="3" t="n"/>
      <c r="B248" s="3" t="n"/>
      <c r="C248" s="3" t="n"/>
      <c r="D248" s="3" t="n"/>
      <c r="E248" s="3" t="n"/>
      <c r="F248" s="3" t="n"/>
    </row>
    <row r="249">
      <c r="A249" s="3" t="n"/>
      <c r="B249" s="3" t="n"/>
      <c r="C249" s="3" t="n"/>
      <c r="D249" s="3" t="n"/>
      <c r="E249" s="3" t="n"/>
      <c r="F249" s="3" t="n"/>
    </row>
    <row r="250">
      <c r="A250" s="3" t="n"/>
      <c r="B250" s="3" t="n"/>
      <c r="C250" s="3" t="n"/>
      <c r="D250" s="3" t="n"/>
      <c r="E250" s="3" t="n"/>
      <c r="F250" s="3" t="n"/>
    </row>
    <row r="251">
      <c r="A251" s="3" t="n"/>
      <c r="B251" s="3" t="n"/>
      <c r="C251" s="3" t="n"/>
      <c r="D251" s="3" t="n"/>
      <c r="E251" s="3" t="n"/>
      <c r="F251" s="3" t="n"/>
    </row>
    <row r="252">
      <c r="A252" s="3" t="n"/>
      <c r="B252" s="3" t="n"/>
      <c r="C252" s="3" t="n"/>
      <c r="D252" s="3" t="n"/>
      <c r="E252" s="3" t="n"/>
      <c r="F252" s="3" t="n"/>
    </row>
    <row r="253">
      <c r="A253" s="3" t="n"/>
      <c r="B253" s="3" t="n"/>
      <c r="C253" s="3" t="n"/>
      <c r="D253" s="3" t="n"/>
      <c r="E253" s="3" t="n"/>
      <c r="F253" s="3" t="n"/>
    </row>
    <row r="254">
      <c r="A254" s="3" t="n"/>
      <c r="B254" s="3" t="n"/>
      <c r="C254" s="3" t="n"/>
      <c r="D254" s="3" t="n"/>
      <c r="E254" s="3" t="n"/>
      <c r="F254" s="3" t="n"/>
    </row>
    <row r="255">
      <c r="A255" s="3" t="n"/>
      <c r="B255" s="3" t="n"/>
      <c r="C255" s="3" t="n"/>
      <c r="D255" s="3" t="n"/>
      <c r="E255" s="3" t="n"/>
      <c r="F255" s="3" t="n"/>
    </row>
    <row r="256">
      <c r="A256" s="3" t="n"/>
      <c r="B256" s="3" t="n"/>
      <c r="C256" s="3" t="n"/>
      <c r="D256" s="3" t="n"/>
      <c r="E256" s="3" t="n"/>
      <c r="F256" s="3" t="n"/>
    </row>
    <row r="257">
      <c r="A257" s="3" t="n"/>
      <c r="B257" s="3" t="n"/>
      <c r="C257" s="3" t="n"/>
      <c r="D257" s="3" t="n"/>
      <c r="E257" s="3" t="n"/>
      <c r="F257" s="3" t="n"/>
    </row>
    <row r="258">
      <c r="A258" s="3" t="n"/>
      <c r="B258" s="3" t="n"/>
      <c r="C258" s="3" t="n"/>
      <c r="D258" s="3" t="n"/>
      <c r="E258" s="3" t="n"/>
      <c r="F258" s="3" t="n"/>
    </row>
    <row r="259">
      <c r="A259" s="3" t="n"/>
      <c r="B259" s="3" t="n"/>
      <c r="C259" s="3" t="n"/>
      <c r="D259" s="3" t="n"/>
      <c r="E259" s="3" t="n"/>
      <c r="F259" s="3" t="n"/>
    </row>
    <row r="260">
      <c r="A260" s="3" t="n"/>
      <c r="B260" s="3" t="n"/>
      <c r="C260" s="3" t="n"/>
      <c r="D260" s="3" t="n"/>
      <c r="E260" s="3" t="n"/>
      <c r="F260" s="3" t="n"/>
    </row>
    <row r="261">
      <c r="A261" s="3" t="n"/>
      <c r="B261" s="3" t="n"/>
      <c r="C261" s="3" t="n"/>
      <c r="D261" s="3" t="n"/>
      <c r="E261" s="3" t="n"/>
      <c r="F261" s="3" t="n"/>
    </row>
    <row r="262">
      <c r="A262" s="3" t="n"/>
      <c r="B262" s="3" t="n"/>
      <c r="C262" s="3" t="n"/>
      <c r="D262" s="3" t="n"/>
      <c r="E262" s="3" t="n"/>
      <c r="F262" s="3" t="n"/>
    </row>
    <row r="263">
      <c r="A263" s="3" t="n"/>
      <c r="B263" s="3" t="n"/>
      <c r="C263" s="3" t="n"/>
      <c r="D263" s="3" t="n"/>
      <c r="E263" s="3" t="n"/>
      <c r="F263" s="3" t="n"/>
    </row>
    <row r="264">
      <c r="A264" s="3" t="n"/>
      <c r="B264" s="3" t="n"/>
      <c r="C264" s="3" t="n"/>
      <c r="D264" s="3" t="n"/>
      <c r="E264" s="3" t="n"/>
      <c r="F264" s="3" t="n"/>
    </row>
    <row r="265">
      <c r="A265" s="3" t="n"/>
      <c r="B265" s="3" t="n"/>
      <c r="C265" s="3" t="n"/>
      <c r="D265" s="3" t="n"/>
      <c r="E265" s="3" t="n"/>
      <c r="F265" s="3" t="n"/>
    </row>
    <row r="266">
      <c r="A266" s="3" t="n"/>
      <c r="B266" s="3" t="n"/>
      <c r="C266" s="3" t="n"/>
      <c r="D266" s="3" t="n"/>
      <c r="E266" s="3" t="n"/>
      <c r="F266" s="3" t="n"/>
    </row>
    <row r="267">
      <c r="A267" s="3" t="n"/>
      <c r="B267" s="3" t="n"/>
      <c r="C267" s="3" t="n"/>
      <c r="D267" s="3" t="n"/>
      <c r="E267" s="3" t="n"/>
      <c r="F267" s="3" t="n"/>
    </row>
    <row r="268">
      <c r="A268" s="3" t="n"/>
      <c r="B268" s="3" t="n"/>
      <c r="C268" s="3" t="n"/>
      <c r="D268" s="3" t="n"/>
      <c r="E268" s="3" t="n"/>
      <c r="F268" s="3" t="n"/>
    </row>
    <row r="269">
      <c r="A269" s="3" t="n"/>
      <c r="B269" s="3" t="n"/>
      <c r="C269" s="3" t="n"/>
      <c r="D269" s="3" t="n"/>
      <c r="E269" s="3" t="n"/>
      <c r="F269" s="3" t="n"/>
    </row>
    <row r="270">
      <c r="A270" s="3" t="n"/>
      <c r="B270" s="3" t="n"/>
      <c r="C270" s="3" t="n"/>
      <c r="D270" s="3" t="n"/>
      <c r="E270" s="3" t="n"/>
      <c r="F270" s="3" t="n"/>
    </row>
    <row r="271">
      <c r="A271" s="3" t="n"/>
      <c r="B271" s="3" t="n"/>
      <c r="C271" s="3" t="n"/>
      <c r="D271" s="3" t="n"/>
      <c r="E271" s="3" t="n"/>
      <c r="F271" s="3" t="n"/>
    </row>
    <row r="272">
      <c r="A272" s="3" t="n"/>
      <c r="B272" s="3" t="n"/>
      <c r="C272" s="3" t="n"/>
      <c r="D272" s="3" t="n"/>
      <c r="E272" s="3" t="n"/>
      <c r="F272" s="3" t="n"/>
    </row>
    <row r="273">
      <c r="A273" s="3" t="n"/>
      <c r="B273" s="3" t="n"/>
      <c r="C273" s="3" t="n"/>
      <c r="D273" s="3" t="n"/>
      <c r="E273" s="3" t="n"/>
      <c r="F273" s="3" t="n"/>
    </row>
    <row r="274">
      <c r="A274" s="3" t="n"/>
      <c r="B274" s="3" t="n"/>
      <c r="C274" s="3" t="n"/>
      <c r="D274" s="3" t="n"/>
      <c r="E274" s="3" t="n"/>
      <c r="F274" s="3" t="n"/>
    </row>
    <row r="275">
      <c r="A275" s="3" t="n"/>
      <c r="B275" s="3" t="n"/>
      <c r="C275" s="3" t="n"/>
      <c r="D275" s="3" t="n"/>
      <c r="E275" s="3" t="n"/>
      <c r="F275" s="3" t="n"/>
    </row>
    <row r="276">
      <c r="A276" s="3" t="n"/>
      <c r="B276" s="3" t="n"/>
      <c r="C276" s="3" t="n"/>
      <c r="D276" s="3" t="n"/>
      <c r="E276" s="3" t="n"/>
      <c r="F276" s="3" t="n"/>
    </row>
    <row r="277">
      <c r="A277" s="3" t="n"/>
      <c r="B277" s="3" t="n"/>
      <c r="C277" s="3" t="n"/>
      <c r="D277" s="3" t="n"/>
      <c r="E277" s="3" t="n"/>
      <c r="F277" s="3" t="n"/>
    </row>
    <row r="278">
      <c r="A278" s="3" t="n"/>
      <c r="B278" s="3" t="n"/>
      <c r="C278" s="3" t="n"/>
      <c r="D278" s="3" t="n"/>
      <c r="E278" s="3" t="n"/>
      <c r="F278" s="3" t="n"/>
    </row>
    <row r="279">
      <c r="A279" s="3" t="n"/>
      <c r="B279" s="3" t="n"/>
      <c r="C279" s="3" t="n"/>
      <c r="D279" s="3" t="n"/>
      <c r="E279" s="3" t="n"/>
      <c r="F279" s="3" t="n"/>
    </row>
    <row r="280">
      <c r="A280" s="3" t="n"/>
      <c r="B280" s="3" t="n"/>
      <c r="C280" s="3" t="n"/>
      <c r="D280" s="3" t="n"/>
      <c r="E280" s="3" t="n"/>
      <c r="F280" s="3" t="n"/>
    </row>
    <row r="281">
      <c r="A281" s="3" t="n"/>
      <c r="B281" s="3" t="n"/>
      <c r="C281" s="3" t="n"/>
      <c r="D281" s="3" t="n"/>
      <c r="E281" s="3" t="n"/>
      <c r="F281" s="3" t="n"/>
    </row>
    <row r="282">
      <c r="A282" s="3" t="n"/>
      <c r="B282" s="3" t="n"/>
      <c r="C282" s="3" t="n"/>
      <c r="D282" s="3" t="n"/>
      <c r="E282" s="3" t="n"/>
      <c r="F282" s="3" t="n"/>
    </row>
    <row r="283">
      <c r="A283" s="3" t="n"/>
      <c r="B283" s="3" t="n"/>
      <c r="C283" s="3" t="n"/>
      <c r="D283" s="3" t="n"/>
      <c r="E283" s="3" t="n"/>
      <c r="F283" s="3" t="n"/>
    </row>
    <row r="284">
      <c r="A284" s="3" t="n"/>
      <c r="B284" s="3" t="n"/>
      <c r="C284" s="3" t="n"/>
      <c r="D284" s="3" t="n"/>
      <c r="E284" s="3" t="n"/>
      <c r="F284" s="3" t="n"/>
    </row>
    <row r="285">
      <c r="A285" s="3" t="n"/>
      <c r="B285" s="3" t="n"/>
      <c r="C285" s="3" t="n"/>
      <c r="D285" s="3" t="n"/>
      <c r="E285" s="3" t="n"/>
      <c r="F285" s="3" t="n"/>
    </row>
    <row r="286">
      <c r="A286" s="3" t="n"/>
      <c r="B286" s="3" t="n"/>
      <c r="C286" s="3" t="n"/>
      <c r="D286" s="3" t="n"/>
      <c r="E286" s="3" t="n"/>
      <c r="F286" s="3" t="n"/>
    </row>
    <row r="287">
      <c r="A287" s="3" t="n"/>
      <c r="B287" s="3" t="n"/>
      <c r="C287" s="3" t="n"/>
      <c r="D287" s="3" t="n"/>
      <c r="E287" s="3" t="n"/>
      <c r="F287" s="3" t="n"/>
    </row>
    <row r="288">
      <c r="A288" s="3" t="n"/>
      <c r="B288" s="3" t="n"/>
      <c r="C288" s="3" t="n"/>
      <c r="D288" s="3" t="n"/>
      <c r="E288" s="3" t="n"/>
      <c r="F288" s="3" t="n"/>
    </row>
    <row r="289">
      <c r="A289" s="3" t="n"/>
      <c r="B289" s="3" t="n"/>
      <c r="C289" s="3" t="n"/>
      <c r="D289" s="3" t="n"/>
      <c r="E289" s="3" t="n"/>
      <c r="F289" s="3" t="n"/>
    </row>
    <row r="290">
      <c r="A290" s="3" t="n"/>
      <c r="B290" s="3" t="n"/>
      <c r="C290" s="3" t="n"/>
      <c r="D290" s="3" t="n"/>
      <c r="E290" s="3" t="n"/>
      <c r="F290" s="3" t="n"/>
    </row>
    <row r="291">
      <c r="A291" s="3" t="n"/>
      <c r="B291" s="3" t="n"/>
      <c r="C291" s="3" t="n"/>
      <c r="D291" s="3" t="n"/>
      <c r="E291" s="3" t="n"/>
      <c r="F291" s="3" t="n"/>
    </row>
    <row r="292">
      <c r="A292" s="3" t="n"/>
      <c r="B292" s="3" t="n"/>
      <c r="C292" s="3" t="n"/>
      <c r="D292" s="3" t="n"/>
      <c r="E292" s="3" t="n"/>
      <c r="F292" s="3" t="n"/>
    </row>
    <row r="293">
      <c r="A293" s="3" t="n"/>
      <c r="B293" s="3" t="n"/>
      <c r="C293" s="3" t="n"/>
      <c r="D293" s="3" t="n"/>
      <c r="E293" s="3" t="n"/>
      <c r="F293" s="3" t="n"/>
    </row>
    <row r="294">
      <c r="A294" s="3" t="n"/>
      <c r="B294" s="3" t="n"/>
      <c r="C294" s="3" t="n"/>
      <c r="D294" s="3" t="n"/>
      <c r="E294" s="3" t="n"/>
      <c r="F294" s="3" t="n"/>
    </row>
    <row r="295">
      <c r="A295" s="3" t="n"/>
      <c r="B295" s="3" t="n"/>
      <c r="C295" s="3" t="n"/>
      <c r="D295" s="3" t="n"/>
      <c r="E295" s="3" t="n"/>
      <c r="F295" s="3" t="n"/>
    </row>
    <row r="296">
      <c r="A296" s="3" t="n"/>
      <c r="B296" s="3" t="n"/>
      <c r="C296" s="3" t="n"/>
      <c r="D296" s="3" t="n"/>
      <c r="E296" s="3" t="n"/>
      <c r="F296" s="3" t="n"/>
    </row>
    <row r="297">
      <c r="A297" s="3" t="n"/>
      <c r="B297" s="3" t="n"/>
      <c r="C297" s="3" t="n"/>
      <c r="D297" s="3" t="n"/>
      <c r="E297" s="3" t="n"/>
      <c r="F297" s="3" t="n"/>
    </row>
    <row r="298">
      <c r="A298" s="3" t="n"/>
      <c r="B298" s="3" t="n"/>
      <c r="C298" s="3" t="n"/>
      <c r="D298" s="3" t="n"/>
      <c r="E298" s="3" t="n"/>
      <c r="F298" s="3" t="n"/>
    </row>
    <row r="299">
      <c r="A299" s="3" t="n"/>
      <c r="B299" s="3" t="n"/>
      <c r="C299" s="3" t="n"/>
      <c r="D299" s="3" t="n"/>
      <c r="E299" s="3" t="n"/>
      <c r="F299" s="3" t="n"/>
    </row>
    <row r="300">
      <c r="A300" s="3" t="n"/>
      <c r="B300" s="3" t="n"/>
      <c r="C300" s="3" t="n"/>
      <c r="D300" s="3" t="n"/>
      <c r="E300" s="3" t="n"/>
      <c r="F300" s="3" t="n"/>
    </row>
    <row r="301">
      <c r="A301" s="3" t="n"/>
      <c r="B301" s="3" t="n"/>
      <c r="C301" s="3" t="n"/>
      <c r="D301" s="3" t="n"/>
      <c r="E301" s="3" t="n"/>
      <c r="F301" s="3" t="n"/>
    </row>
    <row r="302">
      <c r="A302" s="3" t="n"/>
      <c r="B302" s="3" t="n"/>
      <c r="C302" s="3" t="n"/>
      <c r="D302" s="3" t="n"/>
      <c r="E302" s="3" t="n"/>
      <c r="F302" s="3" t="n"/>
    </row>
    <row r="303">
      <c r="A303" s="3" t="n"/>
      <c r="B303" s="3" t="n"/>
      <c r="C303" s="3" t="n"/>
      <c r="D303" s="3" t="n"/>
      <c r="E303" s="3" t="n"/>
      <c r="F303" s="3" t="n"/>
    </row>
    <row r="304">
      <c r="A304" s="3" t="n"/>
      <c r="B304" s="3" t="n"/>
      <c r="C304" s="3" t="n"/>
      <c r="D304" s="3" t="n"/>
      <c r="E304" s="3" t="n"/>
      <c r="F304" s="3" t="n"/>
    </row>
    <row r="305">
      <c r="A305" s="3" t="n"/>
      <c r="B305" s="3" t="n"/>
      <c r="C305" s="3" t="n"/>
      <c r="D305" s="3" t="n"/>
      <c r="E305" s="3" t="n"/>
      <c r="F305" s="3" t="n"/>
    </row>
    <row r="306">
      <c r="A306" s="3" t="n"/>
      <c r="B306" s="3" t="n"/>
      <c r="C306" s="3" t="n"/>
      <c r="D306" s="3" t="n"/>
      <c r="E306" s="3" t="n"/>
      <c r="F306" s="3" t="n"/>
    </row>
    <row r="307">
      <c r="A307" s="3" t="n"/>
      <c r="B307" s="3" t="n"/>
      <c r="C307" s="3" t="n"/>
      <c r="D307" s="3" t="n"/>
      <c r="E307" s="3" t="n"/>
      <c r="F307" s="3" t="n"/>
    </row>
    <row r="308">
      <c r="A308" s="3" t="n"/>
      <c r="B308" s="3" t="n"/>
      <c r="C308" s="3" t="n"/>
      <c r="D308" s="3" t="n"/>
      <c r="E308" s="3" t="n"/>
      <c r="F308" s="3" t="n"/>
    </row>
    <row r="309">
      <c r="A309" s="3" t="n"/>
      <c r="B309" s="3" t="n"/>
      <c r="C309" s="3" t="n"/>
      <c r="D309" s="3" t="n"/>
      <c r="E309" s="3" t="n"/>
      <c r="F309" s="3" t="n"/>
    </row>
    <row r="310">
      <c r="A310" s="3" t="n"/>
      <c r="B310" s="3" t="n"/>
      <c r="C310" s="3" t="n"/>
      <c r="D310" s="3" t="n"/>
      <c r="E310" s="3" t="n"/>
      <c r="F310" s="3" t="n"/>
    </row>
    <row r="311">
      <c r="A311" s="3" t="n"/>
      <c r="B311" s="3" t="n"/>
      <c r="C311" s="3" t="n"/>
      <c r="D311" s="3" t="n"/>
      <c r="E311" s="3" t="n"/>
      <c r="F311" s="3" t="n"/>
    </row>
    <row r="312">
      <c r="A312" s="3" t="n"/>
      <c r="B312" s="3" t="n"/>
      <c r="C312" s="3" t="n"/>
      <c r="D312" s="3" t="n"/>
      <c r="E312" s="3" t="n"/>
      <c r="F312" s="3" t="n"/>
    </row>
    <row r="313">
      <c r="A313" s="3" t="n"/>
      <c r="B313" s="3" t="n"/>
      <c r="C313" s="3" t="n"/>
      <c r="D313" s="3" t="n"/>
      <c r="E313" s="3" t="n"/>
      <c r="F313" s="3" t="n"/>
    </row>
    <row r="314">
      <c r="A314" s="3" t="n"/>
      <c r="B314" s="3" t="n"/>
      <c r="C314" s="3" t="n"/>
      <c r="D314" s="3" t="n"/>
      <c r="E314" s="3" t="n"/>
      <c r="F314" s="3" t="n"/>
    </row>
    <row r="315">
      <c r="A315" s="3" t="n"/>
      <c r="B315" s="3" t="n"/>
      <c r="C315" s="3" t="n"/>
      <c r="D315" s="3" t="n"/>
      <c r="E315" s="3" t="n"/>
      <c r="F315" s="3" t="n"/>
    </row>
    <row r="316">
      <c r="A316" s="3" t="n"/>
      <c r="B316" s="3" t="n"/>
      <c r="C316" s="3" t="n"/>
      <c r="D316" s="3" t="n"/>
      <c r="E316" s="3" t="n"/>
      <c r="F316" s="3" t="n"/>
    </row>
    <row r="317">
      <c r="A317" s="3" t="n"/>
      <c r="B317" s="3" t="n"/>
      <c r="C317" s="3" t="n"/>
      <c r="D317" s="3" t="n"/>
      <c r="E317" s="3" t="n"/>
      <c r="F317" s="3" t="n"/>
    </row>
    <row r="318">
      <c r="A318" s="3" t="n"/>
      <c r="B318" s="3" t="n"/>
      <c r="C318" s="3" t="n"/>
      <c r="D318" s="3" t="n"/>
      <c r="E318" s="3" t="n"/>
      <c r="F318" s="3" t="n"/>
    </row>
    <row r="319">
      <c r="A319" s="3" t="n"/>
      <c r="B319" s="3" t="n"/>
      <c r="C319" s="3" t="n"/>
      <c r="D319" s="3" t="n"/>
      <c r="E319" s="3" t="n"/>
      <c r="F319" s="3" t="n"/>
    </row>
  </sheetData>
  <mergeCells count="15">
    <mergeCell ref="A34:E34"/>
    <mergeCell ref="B9:E9"/>
    <mergeCell ref="A35:E35"/>
    <mergeCell ref="D4:E5"/>
    <mergeCell ref="C29:D29"/>
    <mergeCell ref="B7:C7"/>
    <mergeCell ref="A5:C5"/>
    <mergeCell ref="C1:D1"/>
    <mergeCell ref="C30:D30"/>
    <mergeCell ref="C31:D31"/>
    <mergeCell ref="C32:D32"/>
    <mergeCell ref="C28:D28"/>
    <mergeCell ref="A36:E36"/>
    <mergeCell ref="A4:C4"/>
    <mergeCell ref="B8:C8"/>
  </mergeCells>
  <dataValidations count="1">
    <dataValidation sqref="B7" showDropDown="0" showInputMessage="0" showErrorMessage="0" allowBlank="1" promptTitle="🔎 Transaction ID" prompt="Tap the arrow to pick a Transaction ID you already logged." type="list">
      <formula1>TXN_List</formula1>
    </dataValidation>
  </dataValidations>
  <pageMargins left="0.4" right="0.4" top="0.5" bottom="0.5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tabColor rgb="00334155"/>
    <outlinePr summaryBelow="1" summaryRight="1"/>
    <pageSetUpPr/>
  </sheetPr>
  <dimension ref="A1:G319"/>
  <sheetViews>
    <sheetView showGridLines="0" showRowColHeader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40" customHeight="1">
      <c r="A1" s="1">
        <f>HYPERLINK("#'Dashboard'!A1","🏠 Dashboard")</f>
        <v/>
      </c>
      <c r="C1" s="1">
        <f>HYPERLINK("#'Item Master'!A1","📦 Products")</f>
        <v/>
      </c>
      <c r="D1" s="1">
        <f>HYPERLINK("#'Log Transaction'!A1","✍️ Log Sale")</f>
        <v/>
      </c>
      <c r="E1" s="1">
        <f>HYPERLINK("#'Invoice Generator'!A1","🧾 Invoice")</f>
        <v/>
      </c>
      <c r="F1" s="1">
        <f>HYPERLINK("#'Start Here'!A1","🚀 Start Here")</f>
        <v/>
      </c>
    </row>
    <row r="2" ht="6" customHeight="1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 ht="20" customHeight="1">
      <c r="A4" s="3" t="n"/>
      <c r="B4" s="16" t="inlineStr">
        <is>
          <t>CONFIGURATION</t>
        </is>
      </c>
      <c r="G4" s="3" t="n"/>
    </row>
    <row r="5" ht="34" customHeight="1">
      <c r="A5" s="3" t="n"/>
      <c r="B5" s="17" t="inlineStr">
        <is>
          <t>⚙️ Settings</t>
        </is>
      </c>
      <c r="G5" s="3" t="n"/>
    </row>
    <row r="6" ht="20" customHeight="1">
      <c r="A6" s="3" t="n"/>
      <c r="B6" s="18" t="inlineStr">
        <is>
          <t>Fill these once. Every invoice and message reads from here.</t>
        </is>
      </c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 ht="34" customHeight="1">
      <c r="A8" s="3" t="n"/>
      <c r="B8" s="11" t="inlineStr">
        <is>
          <t>🏪 Business name</t>
        </is>
      </c>
      <c r="C8" s="69" t="inlineStr">
        <is>
          <t>Momentum Mind Store</t>
        </is>
      </c>
      <c r="D8" s="70" t="n"/>
      <c r="E8" s="70" t="n"/>
      <c r="F8" s="70" t="n"/>
      <c r="G8" s="3" t="n"/>
    </row>
    <row r="9" ht="34" customHeight="1">
      <c r="A9" s="3" t="n"/>
      <c r="B9" s="11" t="inlineStr">
        <is>
          <t>✉️ Business email</t>
        </is>
      </c>
      <c r="C9" s="69" t="inlineStr">
        <is>
          <t>hello@momentummindstore.com</t>
        </is>
      </c>
      <c r="D9" s="70" t="n"/>
      <c r="E9" s="70" t="n"/>
      <c r="F9" s="70" t="n"/>
      <c r="G9" s="3" t="n"/>
    </row>
    <row r="10" ht="34" customHeight="1">
      <c r="A10" s="3" t="n"/>
      <c r="B10" s="11" t="inlineStr">
        <is>
          <t>📞 Business phone</t>
        </is>
      </c>
      <c r="C10" s="71" t="inlineStr">
        <is>
          <t>+1 555 010 2030</t>
        </is>
      </c>
      <c r="D10" s="70" t="n"/>
      <c r="E10" s="70" t="n"/>
      <c r="F10" s="70" t="n"/>
      <c r="G10" s="3" t="n"/>
    </row>
    <row r="11" ht="34" customHeight="1">
      <c r="A11" s="3" t="n"/>
      <c r="B11" s="11" t="inlineStr">
        <is>
          <t>🌐 Website / Etsy</t>
        </is>
      </c>
      <c r="C11" s="69" t="inlineStr">
        <is>
          <t>etsy.com/shop/MomentumMindStore</t>
        </is>
      </c>
      <c r="D11" s="70" t="n"/>
      <c r="E11" s="70" t="n"/>
      <c r="F11" s="70" t="n"/>
      <c r="G11" s="3" t="n"/>
    </row>
    <row r="12" ht="34" customHeight="1">
      <c r="A12" s="3" t="n"/>
      <c r="B12" s="11" t="inlineStr">
        <is>
          <t>🧾 Tax rate</t>
        </is>
      </c>
      <c r="C12" s="72" t="n">
        <v>0.1</v>
      </c>
      <c r="D12" s="70" t="n"/>
      <c r="E12" s="70" t="n"/>
      <c r="F12" s="70" t="n"/>
      <c r="G12" s="3" t="n"/>
    </row>
    <row r="13" ht="34" customHeight="1">
      <c r="A13" s="3" t="n"/>
      <c r="B13" s="11" t="inlineStr">
        <is>
          <t>💱 Currency symbol</t>
        </is>
      </c>
      <c r="C13" s="69" t="inlineStr">
        <is>
          <t>$</t>
        </is>
      </c>
      <c r="D13" s="70" t="n"/>
      <c r="E13" s="70" t="n"/>
      <c r="F13" s="70" t="n"/>
      <c r="G13" s="3" t="n"/>
    </row>
    <row r="14" ht="34" customHeight="1">
      <c r="A14" s="3" t="n"/>
      <c r="B14" s="11" t="inlineStr">
        <is>
          <t>#️⃣ Invoice prefix</t>
        </is>
      </c>
      <c r="C14" s="69" t="inlineStr">
        <is>
          <t>MMS-</t>
        </is>
      </c>
      <c r="D14" s="70" t="n"/>
      <c r="E14" s="70" t="n"/>
      <c r="F14" s="70" t="n"/>
      <c r="G14" s="3" t="n"/>
    </row>
    <row r="15" ht="34" customHeight="1">
      <c r="A15" s="3" t="n"/>
      <c r="B15" s="11" t="inlineStr">
        <is>
          <t>📆 Payment due (days)</t>
        </is>
      </c>
      <c r="C15" s="73" t="n">
        <v>14</v>
      </c>
      <c r="D15" s="70" t="n"/>
      <c r="E15" s="70" t="n"/>
      <c r="F15" s="70" t="n"/>
      <c r="G15" s="3" t="n"/>
    </row>
    <row r="16" ht="34" customHeight="1">
      <c r="A16" s="3" t="n"/>
      <c r="B16" s="11" t="inlineStr">
        <is>
          <t>💳 Payment terms</t>
        </is>
      </c>
      <c r="C16" s="69" t="inlineStr">
        <is>
          <t>Payment due within 14 days of invoice date.</t>
        </is>
      </c>
      <c r="D16" s="70" t="n"/>
      <c r="E16" s="70" t="n"/>
      <c r="F16" s="70" t="n"/>
      <c r="G16" s="3" t="n"/>
    </row>
    <row r="17" ht="34" customHeight="1">
      <c r="A17" s="3" t="n"/>
      <c r="B17" s="11" t="inlineStr">
        <is>
          <t>🏦 Payment details</t>
        </is>
      </c>
      <c r="C17" s="69" t="inlineStr">
        <is>
          <t>Bank: Example Bank · Acct: 0000 0000 · Ref: your invoice no.</t>
        </is>
      </c>
      <c r="D17" s="70" t="n"/>
      <c r="E17" s="70" t="n"/>
      <c r="F17" s="70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 ht="30" customHeight="1">
      <c r="A19" s="3" t="n"/>
      <c r="B19" s="14" t="inlineStr">
        <is>
          <t>🔒 Rows 8–17 are the only cells you edit here. Everything else is automatic.</t>
        </is>
      </c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</sheetData>
  <mergeCells count="16">
    <mergeCell ref="B4:F4"/>
    <mergeCell ref="C13:F13"/>
    <mergeCell ref="C9:F9"/>
    <mergeCell ref="C17:F17"/>
    <mergeCell ref="B6:F6"/>
    <mergeCell ref="C8:F8"/>
    <mergeCell ref="C12:F12"/>
    <mergeCell ref="B5:F5"/>
    <mergeCell ref="B19:F19"/>
    <mergeCell ref="C16:F16"/>
    <mergeCell ref="C15:F15"/>
    <mergeCell ref="A1:B1"/>
    <mergeCell ref="C11:F11"/>
    <mergeCell ref="C10:F10"/>
    <mergeCell ref="F1:G1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2026-08-27T20:31:04Z</dcterms:created>
  <dcterms:modified xsi:type="dcterms:W3CDTF">2026-08-27T20:31:05Z</dcterms:modified>
</cp:coreProperties>
</file>