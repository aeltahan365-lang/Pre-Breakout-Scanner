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Dashboard" sheetId="2" state="visible" r:id="rId2"/>
    <sheet name="Item Master" sheetId="3" state="visible" r:id="rId3"/>
    <sheet name="Log Sale" sheetId="4" state="visible" r:id="rId4"/>
    <sheet name="Stock In" sheetId="5" state="visible" r:id="rId5"/>
    <sheet name="Sales Log" sheetId="6" state="visible" r:id="rId6"/>
    <sheet name="Invoice Generator" sheetId="7" state="visible" r:id="rId7"/>
    <sheet name="Settings" sheetId="8" state="visible" r:id="rId8"/>
  </sheets>
  <definedNames>
    <definedName name="SKU_List">'Item Master'!$A$4:$A$53</definedName>
    <definedName name="INV_PICK">'Sales Log'!$K$7:$K$107</definedName>
    <definedName name="_xlnm.Print_Area" localSheetId="6">'Invoice Generator'!$A$4:$E$38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0;[Red]($#,##0.00);&quot;-&quot;"/>
    <numFmt numFmtId="165" formatCode="#,##0;[Red](#,##0);&quot;-&quot;"/>
    <numFmt numFmtId="166" formatCode="yyyy-mm-dd"/>
    <numFmt numFmtId="167" formatCode="dd-mmm-yyyy"/>
    <numFmt numFmtId="168" formatCode="0.0%"/>
  </numFmts>
  <fonts count="3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b val="1"/>
      <color rgb="004F46E5"/>
      <sz val="9"/>
    </font>
    <font>
      <name val="Segoe UI"/>
      <b val="1"/>
      <color rgb="000F172A"/>
      <sz val="24"/>
    </font>
    <font>
      <name val="Segoe UI"/>
      <color rgb="0064748B"/>
      <sz val="10"/>
    </font>
    <font>
      <name val="Segoe UI"/>
      <b val="1"/>
      <color rgb="003730A3"/>
      <sz val="12"/>
    </font>
    <font>
      <name val="Segoe UI"/>
      <color rgb="00334155"/>
      <sz val="10"/>
    </font>
    <font>
      <name val="Segoe UI"/>
      <b val="1"/>
      <color rgb="004F46E5"/>
      <sz val="11"/>
    </font>
    <font>
      <name val="Segoe UI"/>
      <b val="1"/>
      <color rgb="000F172A"/>
      <sz val="10"/>
    </font>
    <font>
      <name val="Segoe UI"/>
      <b val="1"/>
      <color rgb="004F46E5"/>
      <sz val="10"/>
    </font>
    <font>
      <name val="Segoe UI"/>
      <i val="1"/>
      <color rgb="0064748B"/>
      <sz val="9"/>
    </font>
    <font>
      <name val="Segoe UI"/>
      <b val="1"/>
      <color rgb="00FFFFFF"/>
      <sz val="10"/>
    </font>
    <font>
      <name val="Segoe UI"/>
      <color rgb="000F172A"/>
      <sz val="10"/>
    </font>
    <font>
      <name val="Segoe UI"/>
      <b val="1"/>
      <color rgb="000F172A"/>
      <sz val="22"/>
    </font>
    <font>
      <name val="Segoe UI"/>
      <b val="1"/>
      <color rgb="003730A3"/>
      <sz val="14"/>
    </font>
    <font>
      <name val="Segoe UI"/>
      <b val="1"/>
      <color rgb="00047857"/>
      <sz val="14"/>
    </font>
    <font>
      <name val="Segoe UI"/>
      <b val="1"/>
      <color rgb="003730A3"/>
      <sz val="11"/>
    </font>
    <font>
      <name val="Segoe UI"/>
      <color rgb="0064748B"/>
      <sz val="9"/>
    </font>
    <font>
      <name val="Segoe UI"/>
      <b val="1"/>
      <color rgb="000F172A"/>
      <sz val="11"/>
    </font>
    <font>
      <name val="Segoe UI"/>
      <color rgb="000F172A"/>
      <sz val="11"/>
    </font>
    <font>
      <name val="Segoe UI"/>
      <b val="1"/>
      <color rgb="00047857"/>
      <sz val="12"/>
    </font>
    <font>
      <name val="Segoe UI"/>
      <b val="1"/>
      <color rgb="000F172A"/>
      <sz val="20"/>
    </font>
    <font>
      <name val="Segoe UI"/>
      <b val="1"/>
      <color rgb="004F46E5"/>
      <sz val="26"/>
    </font>
    <font>
      <name val="Segoe UI"/>
      <b val="1"/>
      <color rgb="000F172A"/>
      <sz val="12"/>
    </font>
    <font>
      <name val="Segoe UI"/>
      <b val="1"/>
      <color rgb="003730A3"/>
      <sz val="15"/>
    </font>
    <font>
      <name val="Segoe UI"/>
      <b val="1"/>
      <color rgb="00334155"/>
      <sz val="10"/>
    </font>
    <font>
      <name val="Segoe UI"/>
      <b val="1"/>
      <color rgb="0064748B"/>
      <sz val="11"/>
    </font>
    <font>
      <name val="Segoe UI"/>
      <b val="1"/>
      <color rgb="00FFFFFF"/>
      <sz val="14"/>
    </font>
    <font>
      <name val="Segoe UI"/>
      <b val="1"/>
      <color rgb="00FFFFFF"/>
      <sz val="15"/>
    </font>
    <font>
      <name val="Segoe UI"/>
      <b val="1"/>
      <color rgb="003730A3"/>
      <sz val="16"/>
    </font>
    <font>
      <name val="Segoe UI"/>
      <b val="1"/>
      <color rgb="00047857"/>
      <sz val="16"/>
    </font>
    <font>
      <name val="Segoe UI"/>
      <b val="1"/>
      <color rgb="00B91C1C"/>
      <sz val="16"/>
    </font>
    <font>
      <name val="Segoe UI"/>
      <b val="1"/>
      <color rgb="00334155"/>
      <sz val="13"/>
    </font>
    <font>
      <name val="Segoe UI"/>
      <b val="1"/>
      <color rgb="00FFFFFF"/>
      <sz val="12"/>
    </font>
  </fonts>
  <fills count="14">
    <fill>
      <patternFill/>
    </fill>
    <fill>
      <patternFill patternType="gray125"/>
    </fill>
    <fill>
      <patternFill patternType="solid">
        <fgColor rgb="00F1F5F9"/>
      </patternFill>
    </fill>
    <fill>
      <patternFill patternType="solid">
        <fgColor rgb="000F172A"/>
      </patternFill>
    </fill>
    <fill>
      <patternFill patternType="solid">
        <fgColor rgb="004F46E5"/>
      </patternFill>
    </fill>
    <fill>
      <patternFill patternType="solid">
        <fgColor rgb="00FFFFFF"/>
      </patternFill>
    </fill>
    <fill>
      <patternFill patternType="solid">
        <fgColor rgb="00FFF9DB"/>
      </patternFill>
    </fill>
    <fill>
      <patternFill patternType="solid">
        <fgColor rgb="00EEF2FF"/>
      </patternFill>
    </fill>
    <fill>
      <patternFill patternType="solid">
        <fgColor rgb="00ECFDF5"/>
      </patternFill>
    </fill>
    <fill>
      <patternFill patternType="solid">
        <fgColor rgb="003730A3"/>
      </patternFill>
    </fill>
    <fill>
      <patternFill patternType="solid">
        <fgColor rgb="0025D366"/>
      </patternFill>
    </fill>
    <fill>
      <patternFill patternType="solid">
        <fgColor rgb="00FEE2E2"/>
      </patternFill>
    </fill>
    <fill>
      <patternFill patternType="solid">
        <fgColor rgb="00334155"/>
      </patternFill>
    </fill>
    <fill>
      <patternFill patternType="solid">
        <fgColor rgb="0004785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F59E0B"/>
      </left>
      <right style="medium">
        <color rgb="00F59E0B"/>
      </right>
      <top style="medium">
        <color rgb="00F59E0B"/>
      </top>
      <bottom style="medium">
        <color rgb="00F59E0B"/>
      </bottom>
    </border>
  </borders>
  <cellStyleXfs count="1">
    <xf numFmtId="0" fontId="0" fillId="0" borderId="0"/>
  </cellStyleXfs>
  <cellXfs count="91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2" borderId="0" pivotButton="0" quotePrefix="0" xfId="0"/>
    <xf numFmtId="0" fontId="2" fillId="2" borderId="0" applyAlignment="1" pivotButton="0" quotePrefix="0" xfId="0">
      <alignment horizontal="left" vertical="bottom"/>
    </xf>
    <xf numFmtId="0" fontId="3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top"/>
    </xf>
    <xf numFmtId="0" fontId="5" fillId="5" borderId="1" applyAlignment="1" pivotButton="0" quotePrefix="0" xfId="0">
      <alignment horizontal="left" vertical="center" indent="1"/>
    </xf>
    <xf numFmtId="0" fontId="0" fillId="5" borderId="1" pivotButton="0" quotePrefix="0" xfId="0"/>
    <xf numFmtId="0" fontId="6" fillId="5" borderId="1" applyAlignment="1" pivotButton="0" quotePrefix="0" xfId="0">
      <alignment horizontal="left" vertical="top" wrapText="1" indent="1"/>
    </xf>
    <xf numFmtId="0" fontId="7" fillId="2" borderId="0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 indent="1"/>
    </xf>
    <xf numFmtId="0" fontId="6" fillId="5" borderId="1" applyAlignment="1" pivotButton="0" quotePrefix="0" xfId="0">
      <alignment horizontal="left" vertical="center" indent="1"/>
    </xf>
    <xf numFmtId="0" fontId="9" fillId="5" borderId="1" applyAlignment="1" pivotButton="0" quotePrefix="0" xfId="0">
      <alignment horizontal="left" vertical="center" indent="1"/>
    </xf>
    <xf numFmtId="0" fontId="10" fillId="2" borderId="0" applyAlignment="1" pivotButton="0" quotePrefix="0" xfId="0">
      <alignment horizontal="left" vertical="center"/>
    </xf>
    <xf numFmtId="0" fontId="0" fillId="3" borderId="0" pivotButton="0" quotePrefix="0" xfId="0"/>
    <xf numFmtId="0" fontId="2" fillId="2" borderId="0" applyAlignment="1" pivotButton="0" quotePrefix="0" xfId="0">
      <alignment horizontal="left" vertical="bottom" indent="1"/>
    </xf>
    <xf numFmtId="0" fontId="13" fillId="2" borderId="0" applyAlignment="1" pivotButton="0" quotePrefix="0" xfId="0">
      <alignment horizontal="left" vertical="center" indent="1"/>
    </xf>
    <xf numFmtId="0" fontId="4" fillId="2" borderId="0" applyAlignment="1" pivotButton="0" quotePrefix="0" xfId="0">
      <alignment horizontal="left" vertical="top" indent="1"/>
    </xf>
    <xf numFmtId="165" fontId="29" fillId="7" borderId="1" applyAlignment="1" pivotButton="0" quotePrefix="0" xfId="0">
      <alignment horizontal="center" vertical="center"/>
    </xf>
    <xf numFmtId="0" fontId="0" fillId="7" borderId="1" pivotButton="0" quotePrefix="0" xfId="0"/>
    <xf numFmtId="164" fontId="30" fillId="8" borderId="1" applyAlignment="1" pivotButton="0" quotePrefix="0" xfId="0">
      <alignment horizontal="center" vertical="center"/>
    </xf>
    <xf numFmtId="0" fontId="0" fillId="8" borderId="1" pivotButton="0" quotePrefix="0" xfId="0"/>
    <xf numFmtId="165" fontId="31" fillId="11" borderId="1" applyAlignment="1" pivotButton="0" quotePrefix="0" xfId="0">
      <alignment horizontal="center" vertical="center"/>
    </xf>
    <xf numFmtId="0" fontId="0" fillId="11" borderId="1" pivotButton="0" quotePrefix="0" xfId="0"/>
    <xf numFmtId="164" fontId="32" fillId="5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33" fillId="13" borderId="1" applyAlignment="1" pivotButton="0" quotePrefix="0" xfId="0">
      <alignment horizontal="center" vertical="center"/>
    </xf>
    <xf numFmtId="0" fontId="0" fillId="13" borderId="1" pivotButton="0" quotePrefix="0" xfId="0"/>
    <xf numFmtId="0" fontId="11" fillId="3" borderId="1" applyAlignment="1" pivotButton="0" quotePrefix="0" xfId="0">
      <alignment horizontal="center" vertical="center" wrapText="1"/>
    </xf>
    <xf numFmtId="0" fontId="25" fillId="5" borderId="1" applyAlignment="1" pivotButton="0" quotePrefix="0" xfId="0">
      <alignment horizontal="left" vertical="center" indent="1"/>
    </xf>
    <xf numFmtId="0" fontId="12" fillId="5" borderId="1" applyAlignment="1" pivotButton="0" quotePrefix="0" xfId="0">
      <alignment horizontal="left" vertical="center" indent="1"/>
    </xf>
    <xf numFmtId="165" fontId="4" fillId="5" borderId="1" applyAlignment="1" pivotButton="0" quotePrefix="0" xfId="0">
      <alignment horizontal="center" vertical="center"/>
    </xf>
    <xf numFmtId="165" fontId="23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164" fontId="4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49" fontId="12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left" vertical="center" indent="1"/>
    </xf>
    <xf numFmtId="164" fontId="12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49" fontId="12" fillId="6" borderId="1" applyAlignment="1" pivotButton="0" quotePrefix="0" xfId="0">
      <alignment horizontal="left" vertical="center" indent="1"/>
    </xf>
    <xf numFmtId="0" fontId="14" fillId="7" borderId="1" applyAlignment="1" pivotButton="0" quotePrefix="0" xfId="0">
      <alignment horizontal="center" vertical="center"/>
    </xf>
    <xf numFmtId="165" fontId="14" fillId="7" borderId="1" applyAlignment="1" pivotButton="0" quotePrefix="0" xfId="0">
      <alignment horizontal="center" vertical="center"/>
    </xf>
    <xf numFmtId="164" fontId="15" fillId="8" borderId="1" applyAlignment="1" pivotButton="0" quotePrefix="0" xfId="0">
      <alignment horizontal="center" vertical="center"/>
    </xf>
    <xf numFmtId="0" fontId="18" fillId="6" borderId="1" applyAlignment="1" pivotButton="0" quotePrefix="0" xfId="0">
      <alignment horizontal="center" vertical="center"/>
    </xf>
    <xf numFmtId="167" fontId="19" fillId="6" borderId="1" applyAlignment="1" pivotButton="0" quotePrefix="0" xfId="0">
      <alignment horizontal="center" vertical="center"/>
    </xf>
    <xf numFmtId="0" fontId="16" fillId="5" borderId="1" applyAlignment="1" pivotButton="0" quotePrefix="0" xfId="0">
      <alignment horizontal="center" vertical="center"/>
    </xf>
    <xf numFmtId="165" fontId="19" fillId="6" borderId="1" applyAlignment="1" pivotButton="0" quotePrefix="0" xfId="0">
      <alignment horizontal="center" vertical="center"/>
    </xf>
    <xf numFmtId="164" fontId="18" fillId="5" borderId="1" applyAlignment="1" pivotButton="0" quotePrefix="0" xfId="0">
      <alignment horizontal="center" vertical="center"/>
    </xf>
    <xf numFmtId="0" fontId="17" fillId="5" borderId="1" applyAlignment="1" pivotButton="0" quotePrefix="0" xfId="0">
      <alignment horizontal="center" vertical="center"/>
    </xf>
    <xf numFmtId="165" fontId="17" fillId="5" borderId="1" applyAlignment="1" pivotButton="0" quotePrefix="0" xfId="0">
      <alignment horizontal="center" vertical="center"/>
    </xf>
    <xf numFmtId="167" fontId="12" fillId="5" borderId="1" applyAlignment="1" pivotButton="0" quotePrefix="0" xfId="0">
      <alignment horizontal="center" vertical="center"/>
    </xf>
    <xf numFmtId="165" fontId="18" fillId="5" borderId="1" applyAlignment="1" pivotButton="0" quotePrefix="0" xfId="0">
      <alignment horizontal="center" vertical="center"/>
    </xf>
    <xf numFmtId="164" fontId="12" fillId="5" borderId="1" applyAlignment="1" pivotButton="0" quotePrefix="0" xfId="0">
      <alignment horizontal="center" vertical="center"/>
    </xf>
    <xf numFmtId="164" fontId="20" fillId="5" borderId="1" applyAlignment="1" pivotButton="0" quotePrefix="0" xfId="0">
      <alignment horizontal="center" vertical="center"/>
    </xf>
    <xf numFmtId="0" fontId="17" fillId="5" borderId="0" applyAlignment="1" pivotButton="0" quotePrefix="0" xfId="0">
      <alignment horizontal="center" vertical="center"/>
    </xf>
    <xf numFmtId="0" fontId="21" fillId="2" borderId="0" applyAlignment="1" pivotButton="0" quotePrefix="0" xfId="0">
      <alignment horizontal="left" vertical="center"/>
    </xf>
    <xf numFmtId="0" fontId="22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23" fillId="6" borderId="2" applyAlignment="1" pivotButton="0" quotePrefix="0" xfId="0">
      <alignment horizontal="center" vertical="center"/>
    </xf>
    <xf numFmtId="0" fontId="10" fillId="2" borderId="0" applyAlignment="1" pivotButton="0" quotePrefix="0" xfId="0">
      <alignment horizontal="right" vertical="center"/>
    </xf>
    <xf numFmtId="0" fontId="24" fillId="5" borderId="1" applyAlignment="1" pivotButton="0" quotePrefix="0" xfId="0">
      <alignment horizontal="center" vertical="center"/>
    </xf>
    <xf numFmtId="0" fontId="25" fillId="2" borderId="0" applyAlignment="1" pivotButton="0" quotePrefix="0" xfId="0">
      <alignment horizontal="right" vertical="center"/>
    </xf>
    <xf numFmtId="167" fontId="19" fillId="5" borderId="1" applyAlignment="1" pivotButton="0" quotePrefix="0" xfId="0">
      <alignment horizontal="center" vertical="center"/>
    </xf>
    <xf numFmtId="0" fontId="17" fillId="2" borderId="0" applyAlignment="1" pivotButton="0" quotePrefix="0" xfId="0">
      <alignment horizontal="left" vertical="center"/>
    </xf>
    <xf numFmtId="0" fontId="18" fillId="5" borderId="1" applyAlignment="1" pivotButton="0" quotePrefix="0" xfId="0">
      <alignment horizontal="left" vertical="center" indent="1"/>
    </xf>
    <xf numFmtId="49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left" vertical="center" indent="1"/>
    </xf>
    <xf numFmtId="0" fontId="25" fillId="5" borderId="1" applyAlignment="1" pivotButton="0" quotePrefix="0" xfId="0">
      <alignment horizontal="center" vertical="center"/>
    </xf>
    <xf numFmtId="165" fontId="12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8" fontId="26" fillId="5" borderId="1" applyAlignment="1" pivotButton="0" quotePrefix="0" xfId="0">
      <alignment horizontal="center" vertical="center"/>
    </xf>
    <xf numFmtId="164" fontId="18" fillId="6" borderId="2" applyAlignment="1" pivotButton="0" quotePrefix="0" xfId="0">
      <alignment horizontal="center" vertical="center"/>
    </xf>
    <xf numFmtId="0" fontId="27" fillId="4" borderId="1" applyAlignment="1" pivotButton="0" quotePrefix="0" xfId="0">
      <alignment horizontal="right" vertical="center"/>
    </xf>
    <xf numFmtId="0" fontId="0" fillId="4" borderId="1" pivotButton="0" quotePrefix="0" xfId="0"/>
    <xf numFmtId="164" fontId="28" fillId="4" borderId="1" applyAlignment="1" pivotButton="0" quotePrefix="0" xfId="0">
      <alignment horizontal="center" vertical="center"/>
    </xf>
    <xf numFmtId="0" fontId="11" fillId="9" borderId="1" applyAlignment="1" pivotButton="0" quotePrefix="0" xfId="0">
      <alignment horizontal="center" vertical="center" wrapText="1"/>
    </xf>
    <xf numFmtId="0" fontId="0" fillId="9" borderId="1" pivotButton="0" quotePrefix="0" xfId="0"/>
    <xf numFmtId="0" fontId="1" fillId="10" borderId="1" applyAlignment="1" pivotButton="0" quotePrefix="0" xfId="0">
      <alignment horizontal="center" vertical="center"/>
    </xf>
    <xf numFmtId="0" fontId="0" fillId="10" borderId="1" pivotButton="0" quotePrefix="0" xfId="0"/>
    <xf numFmtId="0" fontId="1" fillId="4" borderId="1" applyAlignment="1" pivotButton="0" quotePrefix="0" xfId="0">
      <alignment horizontal="center" vertical="center"/>
    </xf>
    <xf numFmtId="0" fontId="25" fillId="2" borderId="0" applyAlignment="1" pivotButton="0" quotePrefix="0" xfId="0">
      <alignment horizontal="left" vertical="center"/>
    </xf>
    <xf numFmtId="0" fontId="7" fillId="2" borderId="0" applyAlignment="1" pivotButton="0" quotePrefix="0" xfId="0">
      <alignment horizontal="center" vertical="center"/>
    </xf>
    <xf numFmtId="0" fontId="19" fillId="6" borderId="2" applyAlignment="1" pivotButton="0" quotePrefix="0" xfId="0">
      <alignment horizontal="left" vertical="center" indent="1"/>
    </xf>
    <xf numFmtId="0" fontId="0" fillId="6" borderId="2" pivotButton="0" quotePrefix="0" xfId="0"/>
    <xf numFmtId="49" fontId="19" fillId="6" borderId="2" applyAlignment="1" pivotButton="0" quotePrefix="0" xfId="0">
      <alignment horizontal="left" vertical="center" indent="1"/>
    </xf>
    <xf numFmtId="168" fontId="19" fillId="6" borderId="2" applyAlignment="1" pivotButton="0" quotePrefix="0" xfId="0">
      <alignment horizontal="left" vertical="center" indent="1"/>
    </xf>
    <xf numFmtId="165" fontId="19" fillId="6" borderId="2" applyAlignment="1" pivotButton="0" quotePrefix="0" xfId="0">
      <alignment horizontal="left" vertical="center" indent="1"/>
    </xf>
  </cellXfs>
  <cellStyles count="1">
    <cellStyle name="Normal" xfId="0" builtinId="0" hidden="0"/>
  </cellStyles>
  <dxfs count="9">
    <dxf>
      <font>
        <name val="Segoe UI"/>
        <b val="1"/>
        <color rgb="00B91C1C"/>
        <sz val="10"/>
      </font>
      <fill>
        <patternFill patternType="solid">
          <fgColor rgb="00FEE2E2"/>
        </patternFill>
      </fill>
    </dxf>
    <dxf>
      <font>
        <name val="Segoe UI"/>
        <b val="1"/>
        <color rgb="00047857"/>
        <sz val="10"/>
      </font>
      <fill>
        <patternFill patternType="solid">
          <fgColor rgb="00ECFDF5"/>
        </patternFill>
      </fill>
    </dxf>
    <dxf>
      <font>
        <name val="Segoe UI"/>
        <b val="1"/>
        <color rgb="00B91C1C"/>
        <sz val="12"/>
      </font>
      <fill>
        <patternFill patternType="solid">
          <fgColor rgb="00FEE2E2"/>
        </patternFill>
      </fill>
    </dxf>
    <dxf>
      <font>
        <name val="Segoe UI"/>
        <b val="1"/>
        <color rgb="00FFFFFF"/>
        <sz val="10"/>
      </font>
      <fill>
        <patternFill patternType="solid">
          <fgColor rgb="0025D366"/>
        </patternFill>
      </fill>
    </dxf>
    <dxf>
      <font>
        <name val="Segoe UI"/>
        <b val="1"/>
        <color rgb="00FFFFFF"/>
        <sz val="10"/>
      </font>
      <fill>
        <patternFill patternType="solid">
          <fgColor rgb="004F46E5"/>
        </patternFill>
      </fill>
    </dxf>
    <dxf>
      <fill>
        <patternFill patternType="solid">
          <fgColor rgb="00EEF2FF"/>
        </patternFill>
      </fill>
    </dxf>
    <dxf>
      <font>
        <name val="Segoe UI"/>
        <b val="1"/>
        <color rgb="00047857"/>
        <sz val="11"/>
      </font>
      <fill>
        <patternFill patternType="solid">
          <fgColor rgb="00ECFDF5"/>
        </patternFill>
      </fill>
    </dxf>
    <dxf>
      <font>
        <name val="Segoe UI"/>
        <b val="1"/>
        <color rgb="00B45309"/>
        <sz val="11"/>
      </font>
      <fill>
        <patternFill patternType="solid">
          <fgColor rgb="00FFFBEB"/>
        </patternFill>
      </fill>
    </dxf>
    <dxf>
      <fill>
        <patternFill patternType="solid">
          <fgColor rgb="00ECFD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Momentum Mind Store</author>
  </authors>
  <commentList>
    <comment ref="A7" authorId="0" shapeId="0">
      <text>
        <t>🏷️  ACTIVE SKUs</t>
      </text>
    </comment>
    <comment ref="C7" authorId="0" shapeId="0">
      <text>
        <t>📦  UNITS IN STOCK</t>
      </text>
    </comment>
    <comment ref="E7" authorId="0" shapeId="0">
      <text>
        <t>💵  TODAY'S SALES</t>
      </text>
    </comment>
    <comment ref="G7" authorId="0" shapeId="0">
      <text>
        <t>⚠️  NEEDS REORDER</t>
      </text>
    </comment>
    <comment ref="A8" authorId="0" shapeId="0">
      <text>
        <t>💰  STOCK VALUE (COST)</t>
      </text>
    </comment>
    <comment ref="C8" authorId="0" shapeId="0">
      <text>
        <t>🧾  ALL-TIME SALES</t>
      </text>
    </comment>
  </commentList>
</comments>
</file>

<file path=xl/comments/comment2.xml><?xml version="1.0" encoding="utf-8"?>
<comments xmlns="http://schemas.openxmlformats.org/spreadsheetml/2006/main">
  <authors>
    <author>Momentum Mind Store</author>
  </authors>
  <commentList>
    <comment ref="A3" authorId="0" shapeId="0">
      <text>
        <t>SKU must be UNIQUE — it is the key linking every screen.
📷 Barcode: scan straight into this cell with any USB or Bluetooth scanner (they type like a keyboard). The Sell and Stock In screens accept EITHER the SKU or the barcode.
📞 Phone: digits only, country code first, no + or spaces (e.g. 15551234567).</t>
      </text>
    </comment>
  </commentList>
</comments>
</file>

<file path=xl/comments/comment3.xml><?xml version="1.0" encoding="utf-8"?>
<comments xmlns="http://schemas.openxmlformats.org/spreadsheetml/2006/main">
  <authors>
    <author>Momentum Mind Store</author>
  </authors>
  <commentList>
    <comment ref="A7" authorId="0" shapeId="0">
      <text>
        <t>Current sale</t>
      </text>
    </comment>
    <comment ref="D7" authorId="0" shapeId="0">
      <text>
        <t>Lines on this sale</t>
      </text>
    </comment>
    <comment ref="F7" authorId="0" shapeId="0">
      <text>
        <t>Units on this sale</t>
      </text>
    </comment>
    <comment ref="H7" authorId="0" shapeId="0">
      <text>
        <t>Running total</t>
      </text>
    </comment>
  </commentList>
</comments>
</file>

<file path=xl/comments/comment4.xml><?xml version="1.0" encoding="utf-8"?>
<comments xmlns="http://schemas.openxmlformats.org/spreadsheetml/2006/main">
  <authors>
    <author>Momentum Mind Store</author>
  </authors>
  <commentList>
    <comment ref="C7" authorId="0" shapeId="0">
      <text>
        <t>Customer, phone and email are the only cells you fill here — and only if you want the one-tap WhatsApp / Email invoice buttons to know where to send.
Everything else is written automatically from the Sell screen.</t>
      </text>
    </comment>
  </commentList>
</comments>
</file>

<file path=xl/comments/comment5.xml><?xml version="1.0" encoding="utf-8"?>
<comments xmlns="http://schemas.openxmlformats.org/spreadsheetml/2006/main">
  <authors>
    <author>Momentum Mind Store</author>
  </authors>
  <commentList>
    <comment ref="A34" authorId="0" shapeId="0">
      <text>
        <t>Desktop: File ▸ Export ▸ Create PDF/XPS.
Phone: ⋯ ▸ Export ▸ PDF.
The print area is already set to exactly this invoice.
For a true one-tap PDF button, import the PRO EDITION macro (see VBA_PRO_EDITION.bas in your download).</t>
      </text>
    </comment>
  </commentList>
</comments>
</file>

<file path=xl/comments/comment6.xml><?xml version="1.0" encoding="utf-8"?>
<comments xmlns="http://schemas.openxmlformats.org/spreadsheetml/2006/main">
  <authors>
    <author>Momentum Mind Store</author>
  </authors>
  <commentList>
    <comment ref="B14" authorId="0" shapeId="0">
      <text>
        <t>Invoice numbers are built as prefix + 1001, 1002, 1003 … and are generated automatically each time you tick 🆕 on the Sell screen. Change the prefix here and every invoice renumbers.</t>
      </text>
    </comment>
  </commentList>
</comments>
</file>

<file path=xl/tables/table1.xml><?xml version="1.0" encoding="utf-8"?>
<table xmlns="http://schemas.openxmlformats.org/spreadsheetml/2006/main" id="1" name="tbl_Items" displayName="tbl_Items" ref="A3:K53" headerRowCount="1">
  <autoFilter ref="A3:K53"/>
  <tableColumns count="11">
    <tableColumn id="1" name="SKU"/>
    <tableColumn id="2" name="📷 Barcode"/>
    <tableColumn id="3" name="📦 Product Name"/>
    <tableColumn id="4" name="Category"/>
    <tableColumn id="5" name="Cost"/>
    <tableColumn id="6" name="Price"/>
    <tableColumn id="7" name="Max Stock"/>
    <tableColumn id="8" name="Reorder Point"/>
    <tableColumn id="9" name="Supplier Name"/>
    <tableColumn id="10" name="📞 Supp. Phone"/>
    <tableColumn id="11" name="✉️ Supp. 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tabColor rgb="003730A3"/>
    <outlinePr summaryBelow="1" summaryRight="1"/>
    <pageSetUpPr/>
  </sheetPr>
  <dimension ref="A1:H339"/>
  <sheetViews>
    <sheetView showGridLines="0" showRowColHeaders="0" tabSelected="1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" customWidth="1" min="8" max="8"/>
  </cols>
  <sheetData>
    <row r="1" ht="40" customHeight="1">
      <c r="A1" s="1">
        <f>HYPERLINK("#'Dashboard'!A1","🏠 Home")</f>
        <v/>
      </c>
      <c r="C1" s="1">
        <f>HYPERLINK("#'Item Master'!A1","📦 Items")</f>
        <v/>
      </c>
      <c r="D1" s="1">
        <f>HYPERLINK("#'Log Sale'!A1","🛒 New Sale")</f>
        <v/>
      </c>
      <c r="E1" s="1">
        <f>HYPERLINK("#'Stock In'!A1","📥 Stock In")</f>
        <v/>
      </c>
      <c r="F1" s="1">
        <f>HYPERLINK("#'Invoice Generator'!A1","🧾 Invoice")</f>
        <v/>
      </c>
      <c r="G1" s="1">
        <f>HYPERLINK("#'Sales Log'!A1","📊 Logs")</f>
        <v/>
      </c>
    </row>
    <row r="2" ht="6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 ht="20" customHeight="1">
      <c r="A4" s="3" t="n"/>
      <c r="B4" s="4" t="inlineStr">
        <is>
          <t>MOMENTUM MIND STORE</t>
        </is>
      </c>
      <c r="H4" s="3" t="n"/>
    </row>
    <row r="5" ht="38" customHeight="1">
      <c r="A5" s="3" t="n"/>
      <c r="B5" s="5" t="inlineStr">
        <is>
          <t>📦 Inventory Manager PRO</t>
        </is>
      </c>
      <c r="H5" s="3" t="n"/>
    </row>
    <row r="6" ht="22" customHeight="1">
      <c r="A6" s="3" t="n"/>
      <c r="B6" s="6" t="inlineStr">
        <is>
          <t>Scan. Sell. Send. Your whole shop in one file — tap a card to jump straight in.</t>
        </is>
      </c>
      <c r="H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</row>
    <row r="8" ht="32" customHeight="1">
      <c r="A8" s="3" t="n"/>
      <c r="B8" s="7">
        <f>HYPERLINK("#'Item Master'!A1","📦  STEP 1 — Add your products   ›")</f>
        <v/>
      </c>
      <c r="C8" s="8" t="n"/>
      <c r="D8" s="8" t="n"/>
      <c r="E8" s="8" t="n"/>
      <c r="F8" s="8" t="n"/>
      <c r="G8" s="8" t="n"/>
      <c r="H8" s="3" t="n"/>
    </row>
    <row r="9" ht="48" customHeight="1">
      <c r="A9" s="3" t="n"/>
      <c r="B9" s="9" t="inlineStr">
        <is>
          <t>One row per item. Give each a unique SKU and, if you use a scanner, its barcode. Cost, Price, Max Stock and supplier contact all live here — every other screen reads from it.</t>
        </is>
      </c>
      <c r="C9" s="8" t="n"/>
      <c r="D9" s="8" t="n"/>
      <c r="E9" s="8" t="n"/>
      <c r="F9" s="8" t="n"/>
      <c r="G9" s="8" t="n"/>
      <c r="H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</row>
    <row r="11" ht="32" customHeight="1">
      <c r="A11" s="3" t="n"/>
      <c r="B11" s="7">
        <f>HYPERLINK("#'Settings'!A1","⚙️  STEP 2 — Set your business details   ›")</f>
        <v/>
      </c>
      <c r="C11" s="8" t="n"/>
      <c r="D11" s="8" t="n"/>
      <c r="E11" s="8" t="n"/>
      <c r="F11" s="8" t="n"/>
      <c r="G11" s="8" t="n"/>
      <c r="H11" s="3" t="n"/>
    </row>
    <row r="12" ht="48" customHeight="1">
      <c r="A12" s="3" t="n"/>
      <c r="B12" s="9" t="inlineStr">
        <is>
          <t>Shop name, contact details, tax rate and invoice prefix. Every invoice and every auto-drafted supplier message reads from this one screen.</t>
        </is>
      </c>
      <c r="C12" s="8" t="n"/>
      <c r="D12" s="8" t="n"/>
      <c r="E12" s="8" t="n"/>
      <c r="F12" s="8" t="n"/>
      <c r="G12" s="8" t="n"/>
      <c r="H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</row>
    <row r="14" ht="32" customHeight="1">
      <c r="A14" s="3" t="n"/>
      <c r="B14" s="7">
        <f>HYPERLINK("#'Log Sale'!A1","🛒  STEP 3 — Sell (this IS your sales log)   ›")</f>
        <v/>
      </c>
      <c r="C14" s="8" t="n"/>
      <c r="D14" s="8" t="n"/>
      <c r="E14" s="8" t="n"/>
      <c r="F14" s="8" t="n"/>
      <c r="G14" s="8" t="n"/>
      <c r="H14" s="3" t="n"/>
    </row>
    <row r="15" ht="48" customHeight="1">
      <c r="A15" s="3" t="n"/>
      <c r="B15" s="9" t="inlineStr">
        <is>
          <t>Tick 🆕 to start a new sale, scan or pick the item, type the quantity. That is the whole sale. The invoice number, description, price and line total fill themselves — and the sale is logged the instant you enter it. There is no save button because nothing needs saving.</t>
        </is>
      </c>
      <c r="C15" s="8" t="n"/>
      <c r="D15" s="8" t="n"/>
      <c r="E15" s="8" t="n"/>
      <c r="F15" s="8" t="n"/>
      <c r="G15" s="8" t="n"/>
      <c r="H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</row>
    <row r="17" ht="32" customHeight="1">
      <c r="A17" s="3" t="n"/>
      <c r="B17" s="7">
        <f>HYPERLINK("#'Stock In'!A1","📥  STEP 4 — Receive stock &amp; record breakages   ›")</f>
        <v/>
      </c>
      <c r="C17" s="8" t="n"/>
      <c r="D17" s="8" t="n"/>
      <c r="E17" s="8" t="n"/>
      <c r="F17" s="8" t="n"/>
      <c r="G17" s="8" t="n"/>
      <c r="H17" s="3" t="n"/>
    </row>
    <row r="18" ht="48" customHeight="1">
      <c r="A18" s="3" t="n"/>
      <c r="B18" s="9" t="inlineStr">
        <is>
          <t>Deliveries from suppliers go here as IN. Damaged or lost items go here as SHRINKAGE. Both feed the live stock count on the Dashboard.</t>
        </is>
      </c>
      <c r="C18" s="8" t="n"/>
      <c r="D18" s="8" t="n"/>
      <c r="E18" s="8" t="n"/>
      <c r="F18" s="8" t="n"/>
      <c r="G18" s="8" t="n"/>
      <c r="H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</row>
    <row r="20" ht="32" customHeight="1">
      <c r="A20" s="3" t="n"/>
      <c r="B20" s="7">
        <f>HYPERLINK("#'Invoice Generator'!A1","🧾  STEP 5 — Send the invoice   ›")</f>
        <v/>
      </c>
      <c r="C20" s="8" t="n"/>
      <c r="D20" s="8" t="n"/>
      <c r="E20" s="8" t="n"/>
      <c r="F20" s="8" t="n"/>
      <c r="G20" s="8" t="n"/>
      <c r="H20" s="3" t="n"/>
    </row>
    <row r="21" ht="48" customHeight="1">
      <c r="A21" s="3" t="n"/>
      <c r="B21" s="9" t="inlineStr">
        <is>
          <t>The Invoice screen already shows your most recent sale. Tap 💬 to send it on WhatsApp or ✉️ to email it — the whole invoice is written for you. For a PDF: File ▸ Export ▸ PDF.</t>
        </is>
      </c>
      <c r="C21" s="8" t="n"/>
      <c r="D21" s="8" t="n"/>
      <c r="E21" s="8" t="n"/>
      <c r="F21" s="8" t="n"/>
      <c r="G21" s="8" t="n"/>
      <c r="H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</row>
    <row r="23" ht="32" customHeight="1">
      <c r="A23" s="3" t="n"/>
      <c r="B23" s="7">
        <f>HYPERLINK("#'Sales Log'!A1","📊  STEP 6 — Read your two live logs   ›")</f>
        <v/>
      </c>
      <c r="C23" s="8" t="n"/>
      <c r="D23" s="8" t="n"/>
      <c r="E23" s="8" t="n"/>
      <c r="F23" s="8" t="n"/>
      <c r="G23" s="8" t="n"/>
      <c r="H23" s="3" t="n"/>
    </row>
    <row r="24" ht="48" customHeight="1">
      <c r="A24" s="3" t="n"/>
      <c r="B24" s="9" t="inlineStr">
        <is>
          <t>Log Sale is your line-by-line SKU log. Sales Log is the header view — one row per invoice with date, invoice number, quantity and amount. Both are automatic.</t>
        </is>
      </c>
      <c r="C24" s="8" t="n"/>
      <c r="D24" s="8" t="n"/>
      <c r="E24" s="8" t="n"/>
      <c r="F24" s="8" t="n"/>
      <c r="G24" s="8" t="n"/>
      <c r="H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</row>
    <row r="26" ht="32" customHeight="1">
      <c r="A26" s="3" t="n"/>
      <c r="B26" s="7">
        <f>HYPERLINK("#'Dashboard'!A1","🏠  STEP 7 — Watch the Dashboard   ›")</f>
        <v/>
      </c>
      <c r="C26" s="8" t="n"/>
      <c r="D26" s="8" t="n"/>
      <c r="E26" s="8" t="n"/>
      <c r="F26" s="8" t="n"/>
      <c r="G26" s="8" t="n"/>
      <c r="H26" s="3" t="n"/>
    </row>
    <row r="27" ht="48" customHeight="1">
      <c r="A27" s="3" t="n"/>
      <c r="B27" s="9" t="inlineStr">
        <is>
          <t>Live stock, today's takings, and low-stock alerts with one-tap WhatsApp and Email reorder buttons that draft the message to your supplier for you.</t>
        </is>
      </c>
      <c r="C27" s="8" t="n"/>
      <c r="D27" s="8" t="n"/>
      <c r="E27" s="8" t="n"/>
      <c r="F27" s="8" t="n"/>
      <c r="G27" s="8" t="n"/>
      <c r="H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</row>
    <row r="29">
      <c r="A29" s="3" t="n"/>
      <c r="B29" s="10" t="inlineStr">
        <is>
          <t>🎨 COLOUR KEY</t>
        </is>
      </c>
      <c r="H29" s="3" t="n"/>
    </row>
    <row r="30" ht="30" customHeight="1">
      <c r="A30" s="3" t="n"/>
      <c r="B30" s="11" t="inlineStr">
        <is>
          <t>🟡  Yellow</t>
        </is>
      </c>
      <c r="C30" s="12" t="inlineStr">
        <is>
          <t>You type or scan here.</t>
        </is>
      </c>
      <c r="D30" s="8" t="n"/>
      <c r="E30" s="8" t="n"/>
      <c r="F30" s="8" t="n"/>
      <c r="G30" s="8" t="n"/>
      <c r="H30" s="3" t="n"/>
    </row>
    <row r="31" ht="30" customHeight="1">
      <c r="A31" s="3" t="n"/>
      <c r="B31" s="11" t="inlineStr">
        <is>
          <t>⬜  White</t>
        </is>
      </c>
      <c r="C31" s="12" t="inlineStr">
        <is>
          <t>Calculated automatically — do not overwrite.</t>
        </is>
      </c>
      <c r="D31" s="8" t="n"/>
      <c r="E31" s="8" t="n"/>
      <c r="F31" s="8" t="n"/>
      <c r="G31" s="8" t="n"/>
      <c r="H31" s="3" t="n"/>
    </row>
    <row r="32" ht="30" customHeight="1">
      <c r="A32" s="3" t="n"/>
      <c r="B32" s="11" t="inlineStr">
        <is>
          <t>🟦  Dark bar</t>
        </is>
      </c>
      <c r="C32" s="12" t="inlineStr">
        <is>
          <t>Six screens, one tap away, on every sheet.</t>
        </is>
      </c>
      <c r="D32" s="8" t="n"/>
      <c r="E32" s="8" t="n"/>
      <c r="F32" s="8" t="n"/>
      <c r="G32" s="8" t="n"/>
      <c r="H32" s="3" t="n"/>
    </row>
    <row r="33" ht="30" customHeight="1">
      <c r="A33" s="3" t="n"/>
      <c r="B33" s="11" t="inlineStr">
        <is>
          <t>🟩  Green / 🟪 Indigo</t>
        </is>
      </c>
      <c r="C33" s="12" t="inlineStr">
        <is>
          <t>A button that has switched itself on — tap it.</t>
        </is>
      </c>
      <c r="D33" s="8" t="n"/>
      <c r="E33" s="8" t="n"/>
      <c r="F33" s="8" t="n"/>
      <c r="G33" s="8" t="n"/>
      <c r="H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</row>
    <row r="35">
      <c r="A35" s="3" t="n"/>
      <c r="B35" s="10" t="inlineStr">
        <is>
          <t>💬 NEED HELP?</t>
        </is>
      </c>
      <c r="H35" s="3" t="n"/>
    </row>
    <row r="36" ht="30" customHeight="1">
      <c r="A36" s="3" t="n"/>
      <c r="B36" s="11" t="inlineStr">
        <is>
          <t>✉️  Support email</t>
        </is>
      </c>
      <c r="C36" s="13">
        <f>HYPERLINK("mailto:support@momentummindstore.com?subject=Inventory%20Manager%20PRO","support@momentummindstore.com")</f>
        <v/>
      </c>
      <c r="D36" s="8" t="n"/>
      <c r="E36" s="8" t="n"/>
      <c r="F36" s="8" t="n"/>
      <c r="G36" s="8" t="n"/>
      <c r="H36" s="3" t="n"/>
    </row>
    <row r="37" ht="30" customHeight="1">
      <c r="A37" s="3" t="n"/>
      <c r="B37" s="11" t="inlineStr">
        <is>
          <t>🛍️  Etsy shop</t>
        </is>
      </c>
      <c r="C37" s="13">
        <f>HYPERLINK("https://www.etsy.com/shop/MomentumMindStore","etsy.com/shop/MomentumMindStore")</f>
        <v/>
      </c>
      <c r="D37" s="8" t="n"/>
      <c r="E37" s="8" t="n"/>
      <c r="F37" s="8" t="n"/>
      <c r="G37" s="8" t="n"/>
      <c r="H37" s="3" t="n"/>
    </row>
    <row r="38" ht="30" customHeight="1">
      <c r="A38" s="3" t="n"/>
      <c r="B38" s="11" t="inlineStr">
        <is>
          <t>📖  Setup video</t>
        </is>
      </c>
      <c r="C38" s="13">
        <f>HYPERLINK("https://www.momentummindstore.com/inventory-pro-guide","Watch the 4-minute walkthrough")</f>
        <v/>
      </c>
      <c r="D38" s="8" t="n"/>
      <c r="E38" s="8" t="n"/>
      <c r="F38" s="8" t="n"/>
      <c r="G38" s="8" t="n"/>
      <c r="H38" s="3" t="n"/>
    </row>
    <row r="39" ht="30" customHeight="1">
      <c r="A39" s="3" t="n"/>
      <c r="B39" s="11" t="inlineStr">
        <is>
          <t>⚙️  Settings</t>
        </is>
      </c>
      <c r="C39" s="13">
        <f>HYPERLINK("#'Settings'!A1","Open your business details")</f>
        <v/>
      </c>
      <c r="D39" s="8" t="n"/>
      <c r="E39" s="8" t="n"/>
      <c r="F39" s="8" t="n"/>
      <c r="G39" s="8" t="n"/>
      <c r="H39" s="3" t="n"/>
    </row>
    <row r="40" ht="30" customHeight="1">
      <c r="A40" s="3" t="n"/>
      <c r="B40" s="11" t="inlineStr">
        <is>
          <t>⭐  Loved it?</t>
        </is>
      </c>
      <c r="C40" s="13">
        <f>HYPERLINK("https://www.etsy.com/your/purchases","Leave a review — it genuinely helps a small shop")</f>
        <v/>
      </c>
      <c r="D40" s="8" t="n"/>
      <c r="E40" s="8" t="n"/>
      <c r="F40" s="8" t="n"/>
      <c r="G40" s="8" t="n"/>
      <c r="H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</row>
    <row r="42">
      <c r="A42" s="3" t="n"/>
      <c r="B42" s="14" t="inlineStr">
        <is>
          <t>© Momentum Mind Store — single-shop licence. No resale or redistribution of this file.</t>
        </is>
      </c>
      <c r="H42" s="3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</row>
    <row r="50">
      <c r="A50" s="3" t="n"/>
      <c r="B50" s="3" t="n"/>
      <c r="C50" s="3" t="n"/>
      <c r="D50" s="3" t="n"/>
      <c r="E50" s="3" t="n"/>
      <c r="F50" s="3" t="n"/>
      <c r="G50" s="3" t="n"/>
      <c r="H50" s="3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</row>
    <row r="80">
      <c r="A80" s="3" t="n"/>
      <c r="B80" s="3" t="n"/>
      <c r="C80" s="3" t="n"/>
      <c r="D80" s="3" t="n"/>
      <c r="E80" s="3" t="n"/>
      <c r="F80" s="3" t="n"/>
      <c r="G80" s="3" t="n"/>
      <c r="H80" s="3" t="n"/>
    </row>
    <row r="81">
      <c r="A81" s="3" t="n"/>
      <c r="B81" s="3" t="n"/>
      <c r="C81" s="3" t="n"/>
      <c r="D81" s="3" t="n"/>
      <c r="E81" s="3" t="n"/>
      <c r="F81" s="3" t="n"/>
      <c r="G81" s="3" t="n"/>
      <c r="H81" s="3" t="n"/>
    </row>
    <row r="82">
      <c r="A82" s="3" t="n"/>
      <c r="B82" s="3" t="n"/>
      <c r="C82" s="3" t="n"/>
      <c r="D82" s="3" t="n"/>
      <c r="E82" s="3" t="n"/>
      <c r="F82" s="3" t="n"/>
      <c r="G82" s="3" t="n"/>
      <c r="H82" s="3" t="n"/>
    </row>
    <row r="83">
      <c r="A83" s="3" t="n"/>
      <c r="B83" s="3" t="n"/>
      <c r="C83" s="3" t="n"/>
      <c r="D83" s="3" t="n"/>
      <c r="E83" s="3" t="n"/>
      <c r="F83" s="3" t="n"/>
      <c r="G83" s="3" t="n"/>
      <c r="H83" s="3" t="n"/>
    </row>
    <row r="84">
      <c r="A84" s="3" t="n"/>
      <c r="B84" s="3" t="n"/>
      <c r="C84" s="3" t="n"/>
      <c r="D84" s="3" t="n"/>
      <c r="E84" s="3" t="n"/>
      <c r="F84" s="3" t="n"/>
      <c r="G84" s="3" t="n"/>
      <c r="H84" s="3" t="n"/>
    </row>
    <row r="85">
      <c r="A85" s="3" t="n"/>
      <c r="B85" s="3" t="n"/>
      <c r="C85" s="3" t="n"/>
      <c r="D85" s="3" t="n"/>
      <c r="E85" s="3" t="n"/>
      <c r="F85" s="3" t="n"/>
      <c r="G85" s="3" t="n"/>
      <c r="H85" s="3" t="n"/>
    </row>
    <row r="86">
      <c r="A86" s="3" t="n"/>
      <c r="B86" s="3" t="n"/>
      <c r="C86" s="3" t="n"/>
      <c r="D86" s="3" t="n"/>
      <c r="E86" s="3" t="n"/>
      <c r="F86" s="3" t="n"/>
      <c r="G86" s="3" t="n"/>
      <c r="H86" s="3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</row>
    <row r="88">
      <c r="A88" s="3" t="n"/>
      <c r="B88" s="3" t="n"/>
      <c r="C88" s="3" t="n"/>
      <c r="D88" s="3" t="n"/>
      <c r="E88" s="3" t="n"/>
      <c r="F88" s="3" t="n"/>
      <c r="G88" s="3" t="n"/>
      <c r="H88" s="3" t="n"/>
    </row>
    <row r="89">
      <c r="A89" s="3" t="n"/>
      <c r="B89" s="3" t="n"/>
      <c r="C89" s="3" t="n"/>
      <c r="D89" s="3" t="n"/>
      <c r="E89" s="3" t="n"/>
      <c r="F89" s="3" t="n"/>
      <c r="G89" s="3" t="n"/>
      <c r="H89" s="3" t="n"/>
    </row>
    <row r="90">
      <c r="A90" s="3" t="n"/>
      <c r="B90" s="3" t="n"/>
      <c r="C90" s="3" t="n"/>
      <c r="D90" s="3" t="n"/>
      <c r="E90" s="3" t="n"/>
      <c r="F90" s="3" t="n"/>
      <c r="G90" s="3" t="n"/>
      <c r="H90" s="3" t="n"/>
    </row>
    <row r="91">
      <c r="A91" s="3" t="n"/>
      <c r="B91" s="3" t="n"/>
      <c r="C91" s="3" t="n"/>
      <c r="D91" s="3" t="n"/>
      <c r="E91" s="3" t="n"/>
      <c r="F91" s="3" t="n"/>
      <c r="G91" s="3" t="n"/>
      <c r="H91" s="3" t="n"/>
    </row>
    <row r="92">
      <c r="A92" s="3" t="n"/>
      <c r="B92" s="3" t="n"/>
      <c r="C92" s="3" t="n"/>
      <c r="D92" s="3" t="n"/>
      <c r="E92" s="3" t="n"/>
      <c r="F92" s="3" t="n"/>
      <c r="G92" s="3" t="n"/>
      <c r="H92" s="3" t="n"/>
    </row>
    <row r="93">
      <c r="A93" s="3" t="n"/>
      <c r="B93" s="3" t="n"/>
      <c r="C93" s="3" t="n"/>
      <c r="D93" s="3" t="n"/>
      <c r="E93" s="3" t="n"/>
      <c r="F93" s="3" t="n"/>
      <c r="G93" s="3" t="n"/>
      <c r="H93" s="3" t="n"/>
    </row>
    <row r="94">
      <c r="A94" s="3" t="n"/>
      <c r="B94" s="3" t="n"/>
      <c r="C94" s="3" t="n"/>
      <c r="D94" s="3" t="n"/>
      <c r="E94" s="3" t="n"/>
      <c r="F94" s="3" t="n"/>
      <c r="G94" s="3" t="n"/>
      <c r="H94" s="3" t="n"/>
    </row>
    <row r="95">
      <c r="A95" s="3" t="n"/>
      <c r="B95" s="3" t="n"/>
      <c r="C95" s="3" t="n"/>
      <c r="D95" s="3" t="n"/>
      <c r="E95" s="3" t="n"/>
      <c r="F95" s="3" t="n"/>
      <c r="G95" s="3" t="n"/>
      <c r="H95" s="3" t="n"/>
    </row>
    <row r="96">
      <c r="A96" s="3" t="n"/>
      <c r="B96" s="3" t="n"/>
      <c r="C96" s="3" t="n"/>
      <c r="D96" s="3" t="n"/>
      <c r="E96" s="3" t="n"/>
      <c r="F96" s="3" t="n"/>
      <c r="G96" s="3" t="n"/>
      <c r="H96" s="3" t="n"/>
    </row>
    <row r="97">
      <c r="A97" s="3" t="n"/>
      <c r="B97" s="3" t="n"/>
      <c r="C97" s="3" t="n"/>
      <c r="D97" s="3" t="n"/>
      <c r="E97" s="3" t="n"/>
      <c r="F97" s="3" t="n"/>
      <c r="G97" s="3" t="n"/>
      <c r="H97" s="3" t="n"/>
    </row>
    <row r="98">
      <c r="A98" s="3" t="n"/>
      <c r="B98" s="3" t="n"/>
      <c r="C98" s="3" t="n"/>
      <c r="D98" s="3" t="n"/>
      <c r="E98" s="3" t="n"/>
      <c r="F98" s="3" t="n"/>
      <c r="G98" s="3" t="n"/>
      <c r="H98" s="3" t="n"/>
    </row>
    <row r="99">
      <c r="A99" s="3" t="n"/>
      <c r="B99" s="3" t="n"/>
      <c r="C99" s="3" t="n"/>
      <c r="D99" s="3" t="n"/>
      <c r="E99" s="3" t="n"/>
      <c r="F99" s="3" t="n"/>
      <c r="G99" s="3" t="n"/>
      <c r="H99" s="3" t="n"/>
    </row>
    <row r="100">
      <c r="A100" s="3" t="n"/>
      <c r="B100" s="3" t="n"/>
      <c r="C100" s="3" t="n"/>
      <c r="D100" s="3" t="n"/>
      <c r="E100" s="3" t="n"/>
      <c r="F100" s="3" t="n"/>
      <c r="G100" s="3" t="n"/>
      <c r="H100" s="3" t="n"/>
    </row>
    <row r="101">
      <c r="A101" s="3" t="n"/>
      <c r="B101" s="3" t="n"/>
      <c r="C101" s="3" t="n"/>
      <c r="D101" s="3" t="n"/>
      <c r="E101" s="3" t="n"/>
      <c r="F101" s="3" t="n"/>
      <c r="G101" s="3" t="n"/>
      <c r="H101" s="3" t="n"/>
    </row>
    <row r="102">
      <c r="A102" s="3" t="n"/>
      <c r="B102" s="3" t="n"/>
      <c r="C102" s="3" t="n"/>
      <c r="D102" s="3" t="n"/>
      <c r="E102" s="3" t="n"/>
      <c r="F102" s="3" t="n"/>
      <c r="G102" s="3" t="n"/>
      <c r="H102" s="3" t="n"/>
    </row>
    <row r="103">
      <c r="A103" s="3" t="n"/>
      <c r="B103" s="3" t="n"/>
      <c r="C103" s="3" t="n"/>
      <c r="D103" s="3" t="n"/>
      <c r="E103" s="3" t="n"/>
      <c r="F103" s="3" t="n"/>
      <c r="G103" s="3" t="n"/>
      <c r="H103" s="3" t="n"/>
    </row>
    <row r="104">
      <c r="A104" s="3" t="n"/>
      <c r="B104" s="3" t="n"/>
      <c r="C104" s="3" t="n"/>
      <c r="D104" s="3" t="n"/>
      <c r="E104" s="3" t="n"/>
      <c r="F104" s="3" t="n"/>
      <c r="G104" s="3" t="n"/>
      <c r="H104" s="3" t="n"/>
    </row>
    <row r="105">
      <c r="A105" s="3" t="n"/>
      <c r="B105" s="3" t="n"/>
      <c r="C105" s="3" t="n"/>
      <c r="D105" s="3" t="n"/>
      <c r="E105" s="3" t="n"/>
      <c r="F105" s="3" t="n"/>
      <c r="G105" s="3" t="n"/>
      <c r="H105" s="3" t="n"/>
    </row>
    <row r="106">
      <c r="A106" s="3" t="n"/>
      <c r="B106" s="3" t="n"/>
      <c r="C106" s="3" t="n"/>
      <c r="D106" s="3" t="n"/>
      <c r="E106" s="3" t="n"/>
      <c r="F106" s="3" t="n"/>
      <c r="G106" s="3" t="n"/>
      <c r="H106" s="3" t="n"/>
    </row>
    <row r="107">
      <c r="A107" s="3" t="n"/>
      <c r="B107" s="3" t="n"/>
      <c r="C107" s="3" t="n"/>
      <c r="D107" s="3" t="n"/>
      <c r="E107" s="3" t="n"/>
      <c r="F107" s="3" t="n"/>
      <c r="G107" s="3" t="n"/>
      <c r="H107" s="3" t="n"/>
    </row>
    <row r="108">
      <c r="A108" s="3" t="n"/>
      <c r="B108" s="3" t="n"/>
      <c r="C108" s="3" t="n"/>
      <c r="D108" s="3" t="n"/>
      <c r="E108" s="3" t="n"/>
      <c r="F108" s="3" t="n"/>
      <c r="G108" s="3" t="n"/>
      <c r="H108" s="3" t="n"/>
    </row>
    <row r="109">
      <c r="A109" s="3" t="n"/>
      <c r="B109" s="3" t="n"/>
      <c r="C109" s="3" t="n"/>
      <c r="D109" s="3" t="n"/>
      <c r="E109" s="3" t="n"/>
      <c r="F109" s="3" t="n"/>
      <c r="G109" s="3" t="n"/>
      <c r="H109" s="3" t="n"/>
    </row>
    <row r="110">
      <c r="A110" s="3" t="n"/>
      <c r="B110" s="3" t="n"/>
      <c r="C110" s="3" t="n"/>
      <c r="D110" s="3" t="n"/>
      <c r="E110" s="3" t="n"/>
      <c r="F110" s="3" t="n"/>
      <c r="G110" s="3" t="n"/>
      <c r="H110" s="3" t="n"/>
    </row>
    <row r="111">
      <c r="A111" s="3" t="n"/>
      <c r="B111" s="3" t="n"/>
      <c r="C111" s="3" t="n"/>
      <c r="D111" s="3" t="n"/>
      <c r="E111" s="3" t="n"/>
      <c r="F111" s="3" t="n"/>
      <c r="G111" s="3" t="n"/>
      <c r="H111" s="3" t="n"/>
    </row>
    <row r="112">
      <c r="A112" s="3" t="n"/>
      <c r="B112" s="3" t="n"/>
      <c r="C112" s="3" t="n"/>
      <c r="D112" s="3" t="n"/>
      <c r="E112" s="3" t="n"/>
      <c r="F112" s="3" t="n"/>
      <c r="G112" s="3" t="n"/>
      <c r="H112" s="3" t="n"/>
    </row>
    <row r="113">
      <c r="A113" s="3" t="n"/>
      <c r="B113" s="3" t="n"/>
      <c r="C113" s="3" t="n"/>
      <c r="D113" s="3" t="n"/>
      <c r="E113" s="3" t="n"/>
      <c r="F113" s="3" t="n"/>
      <c r="G113" s="3" t="n"/>
      <c r="H113" s="3" t="n"/>
    </row>
    <row r="114">
      <c r="A114" s="3" t="n"/>
      <c r="B114" s="3" t="n"/>
      <c r="C114" s="3" t="n"/>
      <c r="D114" s="3" t="n"/>
      <c r="E114" s="3" t="n"/>
      <c r="F114" s="3" t="n"/>
      <c r="G114" s="3" t="n"/>
      <c r="H114" s="3" t="n"/>
    </row>
    <row r="115">
      <c r="A115" s="3" t="n"/>
      <c r="B115" s="3" t="n"/>
      <c r="C115" s="3" t="n"/>
      <c r="D115" s="3" t="n"/>
      <c r="E115" s="3" t="n"/>
      <c r="F115" s="3" t="n"/>
      <c r="G115" s="3" t="n"/>
      <c r="H115" s="3" t="n"/>
    </row>
    <row r="116">
      <c r="A116" s="3" t="n"/>
      <c r="B116" s="3" t="n"/>
      <c r="C116" s="3" t="n"/>
      <c r="D116" s="3" t="n"/>
      <c r="E116" s="3" t="n"/>
      <c r="F116" s="3" t="n"/>
      <c r="G116" s="3" t="n"/>
      <c r="H116" s="3" t="n"/>
    </row>
    <row r="117">
      <c r="A117" s="3" t="n"/>
      <c r="B117" s="3" t="n"/>
      <c r="C117" s="3" t="n"/>
      <c r="D117" s="3" t="n"/>
      <c r="E117" s="3" t="n"/>
      <c r="F117" s="3" t="n"/>
      <c r="G117" s="3" t="n"/>
      <c r="H117" s="3" t="n"/>
    </row>
    <row r="118">
      <c r="A118" s="3" t="n"/>
      <c r="B118" s="3" t="n"/>
      <c r="C118" s="3" t="n"/>
      <c r="D118" s="3" t="n"/>
      <c r="E118" s="3" t="n"/>
      <c r="F118" s="3" t="n"/>
      <c r="G118" s="3" t="n"/>
      <c r="H118" s="3" t="n"/>
    </row>
    <row r="119">
      <c r="A119" s="3" t="n"/>
      <c r="B119" s="3" t="n"/>
      <c r="C119" s="3" t="n"/>
      <c r="D119" s="3" t="n"/>
      <c r="E119" s="3" t="n"/>
      <c r="F119" s="3" t="n"/>
      <c r="G119" s="3" t="n"/>
      <c r="H119" s="3" t="n"/>
    </row>
    <row r="120">
      <c r="A120" s="3" t="n"/>
      <c r="B120" s="3" t="n"/>
      <c r="C120" s="3" t="n"/>
      <c r="D120" s="3" t="n"/>
      <c r="E120" s="3" t="n"/>
      <c r="F120" s="3" t="n"/>
      <c r="G120" s="3" t="n"/>
      <c r="H120" s="3" t="n"/>
    </row>
    <row r="121">
      <c r="A121" s="3" t="n"/>
      <c r="B121" s="3" t="n"/>
      <c r="C121" s="3" t="n"/>
      <c r="D121" s="3" t="n"/>
      <c r="E121" s="3" t="n"/>
      <c r="F121" s="3" t="n"/>
      <c r="G121" s="3" t="n"/>
      <c r="H121" s="3" t="n"/>
    </row>
    <row r="122">
      <c r="A122" s="3" t="n"/>
      <c r="B122" s="3" t="n"/>
      <c r="C122" s="3" t="n"/>
      <c r="D122" s="3" t="n"/>
      <c r="E122" s="3" t="n"/>
      <c r="F122" s="3" t="n"/>
      <c r="G122" s="3" t="n"/>
      <c r="H122" s="3" t="n"/>
    </row>
    <row r="123">
      <c r="A123" s="3" t="n"/>
      <c r="B123" s="3" t="n"/>
      <c r="C123" s="3" t="n"/>
      <c r="D123" s="3" t="n"/>
      <c r="E123" s="3" t="n"/>
      <c r="F123" s="3" t="n"/>
      <c r="G123" s="3" t="n"/>
      <c r="H123" s="3" t="n"/>
    </row>
    <row r="124">
      <c r="A124" s="3" t="n"/>
      <c r="B124" s="3" t="n"/>
      <c r="C124" s="3" t="n"/>
      <c r="D124" s="3" t="n"/>
      <c r="E124" s="3" t="n"/>
      <c r="F124" s="3" t="n"/>
      <c r="G124" s="3" t="n"/>
      <c r="H124" s="3" t="n"/>
    </row>
    <row r="125">
      <c r="A125" s="3" t="n"/>
      <c r="B125" s="3" t="n"/>
      <c r="C125" s="3" t="n"/>
      <c r="D125" s="3" t="n"/>
      <c r="E125" s="3" t="n"/>
      <c r="F125" s="3" t="n"/>
      <c r="G125" s="3" t="n"/>
      <c r="H125" s="3" t="n"/>
    </row>
    <row r="126">
      <c r="A126" s="3" t="n"/>
      <c r="B126" s="3" t="n"/>
      <c r="C126" s="3" t="n"/>
      <c r="D126" s="3" t="n"/>
      <c r="E126" s="3" t="n"/>
      <c r="F126" s="3" t="n"/>
      <c r="G126" s="3" t="n"/>
      <c r="H126" s="3" t="n"/>
    </row>
    <row r="127">
      <c r="A127" s="3" t="n"/>
      <c r="B127" s="3" t="n"/>
      <c r="C127" s="3" t="n"/>
      <c r="D127" s="3" t="n"/>
      <c r="E127" s="3" t="n"/>
      <c r="F127" s="3" t="n"/>
      <c r="G127" s="3" t="n"/>
      <c r="H127" s="3" t="n"/>
    </row>
    <row r="128">
      <c r="A128" s="3" t="n"/>
      <c r="B128" s="3" t="n"/>
      <c r="C128" s="3" t="n"/>
      <c r="D128" s="3" t="n"/>
      <c r="E128" s="3" t="n"/>
      <c r="F128" s="3" t="n"/>
      <c r="G128" s="3" t="n"/>
      <c r="H128" s="3" t="n"/>
    </row>
    <row r="129">
      <c r="A129" s="3" t="n"/>
      <c r="B129" s="3" t="n"/>
      <c r="C129" s="3" t="n"/>
      <c r="D129" s="3" t="n"/>
      <c r="E129" s="3" t="n"/>
      <c r="F129" s="3" t="n"/>
      <c r="G129" s="3" t="n"/>
      <c r="H129" s="3" t="n"/>
    </row>
    <row r="130">
      <c r="A130" s="3" t="n"/>
      <c r="B130" s="3" t="n"/>
      <c r="C130" s="3" t="n"/>
      <c r="D130" s="3" t="n"/>
      <c r="E130" s="3" t="n"/>
      <c r="F130" s="3" t="n"/>
      <c r="G130" s="3" t="n"/>
      <c r="H130" s="3" t="n"/>
    </row>
    <row r="131">
      <c r="A131" s="3" t="n"/>
      <c r="B131" s="3" t="n"/>
      <c r="C131" s="3" t="n"/>
      <c r="D131" s="3" t="n"/>
      <c r="E131" s="3" t="n"/>
      <c r="F131" s="3" t="n"/>
      <c r="G131" s="3" t="n"/>
      <c r="H131" s="3" t="n"/>
    </row>
    <row r="132">
      <c r="A132" s="3" t="n"/>
      <c r="B132" s="3" t="n"/>
      <c r="C132" s="3" t="n"/>
      <c r="D132" s="3" t="n"/>
      <c r="E132" s="3" t="n"/>
      <c r="F132" s="3" t="n"/>
      <c r="G132" s="3" t="n"/>
      <c r="H132" s="3" t="n"/>
    </row>
    <row r="133">
      <c r="A133" s="3" t="n"/>
      <c r="B133" s="3" t="n"/>
      <c r="C133" s="3" t="n"/>
      <c r="D133" s="3" t="n"/>
      <c r="E133" s="3" t="n"/>
      <c r="F133" s="3" t="n"/>
      <c r="G133" s="3" t="n"/>
      <c r="H133" s="3" t="n"/>
    </row>
    <row r="134">
      <c r="A134" s="3" t="n"/>
      <c r="B134" s="3" t="n"/>
      <c r="C134" s="3" t="n"/>
      <c r="D134" s="3" t="n"/>
      <c r="E134" s="3" t="n"/>
      <c r="F134" s="3" t="n"/>
      <c r="G134" s="3" t="n"/>
      <c r="H134" s="3" t="n"/>
    </row>
    <row r="135">
      <c r="A135" s="3" t="n"/>
      <c r="B135" s="3" t="n"/>
      <c r="C135" s="3" t="n"/>
      <c r="D135" s="3" t="n"/>
      <c r="E135" s="3" t="n"/>
      <c r="F135" s="3" t="n"/>
      <c r="G135" s="3" t="n"/>
      <c r="H135" s="3" t="n"/>
    </row>
    <row r="136">
      <c r="A136" s="3" t="n"/>
      <c r="B136" s="3" t="n"/>
      <c r="C136" s="3" t="n"/>
      <c r="D136" s="3" t="n"/>
      <c r="E136" s="3" t="n"/>
      <c r="F136" s="3" t="n"/>
      <c r="G136" s="3" t="n"/>
      <c r="H136" s="3" t="n"/>
    </row>
    <row r="137">
      <c r="A137" s="3" t="n"/>
      <c r="B137" s="3" t="n"/>
      <c r="C137" s="3" t="n"/>
      <c r="D137" s="3" t="n"/>
      <c r="E137" s="3" t="n"/>
      <c r="F137" s="3" t="n"/>
      <c r="G137" s="3" t="n"/>
      <c r="H137" s="3" t="n"/>
    </row>
    <row r="138">
      <c r="A138" s="3" t="n"/>
      <c r="B138" s="3" t="n"/>
      <c r="C138" s="3" t="n"/>
      <c r="D138" s="3" t="n"/>
      <c r="E138" s="3" t="n"/>
      <c r="F138" s="3" t="n"/>
      <c r="G138" s="3" t="n"/>
      <c r="H138" s="3" t="n"/>
    </row>
    <row r="139">
      <c r="A139" s="3" t="n"/>
      <c r="B139" s="3" t="n"/>
      <c r="C139" s="3" t="n"/>
      <c r="D139" s="3" t="n"/>
      <c r="E139" s="3" t="n"/>
      <c r="F139" s="3" t="n"/>
      <c r="G139" s="3" t="n"/>
      <c r="H139" s="3" t="n"/>
    </row>
    <row r="140">
      <c r="A140" s="3" t="n"/>
      <c r="B140" s="3" t="n"/>
      <c r="C140" s="3" t="n"/>
      <c r="D140" s="3" t="n"/>
      <c r="E140" s="3" t="n"/>
      <c r="F140" s="3" t="n"/>
      <c r="G140" s="3" t="n"/>
      <c r="H140" s="3" t="n"/>
    </row>
    <row r="141">
      <c r="A141" s="3" t="n"/>
      <c r="B141" s="3" t="n"/>
      <c r="C141" s="3" t="n"/>
      <c r="D141" s="3" t="n"/>
      <c r="E141" s="3" t="n"/>
      <c r="F141" s="3" t="n"/>
      <c r="G141" s="3" t="n"/>
      <c r="H141" s="3" t="n"/>
    </row>
    <row r="142">
      <c r="A142" s="3" t="n"/>
      <c r="B142" s="3" t="n"/>
      <c r="C142" s="3" t="n"/>
      <c r="D142" s="3" t="n"/>
      <c r="E142" s="3" t="n"/>
      <c r="F142" s="3" t="n"/>
      <c r="G142" s="3" t="n"/>
      <c r="H142" s="3" t="n"/>
    </row>
    <row r="143">
      <c r="A143" s="3" t="n"/>
      <c r="B143" s="3" t="n"/>
      <c r="C143" s="3" t="n"/>
      <c r="D143" s="3" t="n"/>
      <c r="E143" s="3" t="n"/>
      <c r="F143" s="3" t="n"/>
      <c r="G143" s="3" t="n"/>
      <c r="H143" s="3" t="n"/>
    </row>
    <row r="144">
      <c r="A144" s="3" t="n"/>
      <c r="B144" s="3" t="n"/>
      <c r="C144" s="3" t="n"/>
      <c r="D144" s="3" t="n"/>
      <c r="E144" s="3" t="n"/>
      <c r="F144" s="3" t="n"/>
      <c r="G144" s="3" t="n"/>
      <c r="H144" s="3" t="n"/>
    </row>
    <row r="145">
      <c r="A145" s="3" t="n"/>
      <c r="B145" s="3" t="n"/>
      <c r="C145" s="3" t="n"/>
      <c r="D145" s="3" t="n"/>
      <c r="E145" s="3" t="n"/>
      <c r="F145" s="3" t="n"/>
      <c r="G145" s="3" t="n"/>
      <c r="H145" s="3" t="n"/>
    </row>
    <row r="146">
      <c r="A146" s="3" t="n"/>
      <c r="B146" s="3" t="n"/>
      <c r="C146" s="3" t="n"/>
      <c r="D146" s="3" t="n"/>
      <c r="E146" s="3" t="n"/>
      <c r="F146" s="3" t="n"/>
      <c r="G146" s="3" t="n"/>
      <c r="H146" s="3" t="n"/>
    </row>
    <row r="147">
      <c r="A147" s="3" t="n"/>
      <c r="B147" s="3" t="n"/>
      <c r="C147" s="3" t="n"/>
      <c r="D147" s="3" t="n"/>
      <c r="E147" s="3" t="n"/>
      <c r="F147" s="3" t="n"/>
      <c r="G147" s="3" t="n"/>
      <c r="H147" s="3" t="n"/>
    </row>
    <row r="148">
      <c r="A148" s="3" t="n"/>
      <c r="B148" s="3" t="n"/>
      <c r="C148" s="3" t="n"/>
      <c r="D148" s="3" t="n"/>
      <c r="E148" s="3" t="n"/>
      <c r="F148" s="3" t="n"/>
      <c r="G148" s="3" t="n"/>
      <c r="H148" s="3" t="n"/>
    </row>
    <row r="149">
      <c r="A149" s="3" t="n"/>
      <c r="B149" s="3" t="n"/>
      <c r="C149" s="3" t="n"/>
      <c r="D149" s="3" t="n"/>
      <c r="E149" s="3" t="n"/>
      <c r="F149" s="3" t="n"/>
      <c r="G149" s="3" t="n"/>
      <c r="H149" s="3" t="n"/>
    </row>
    <row r="150">
      <c r="A150" s="3" t="n"/>
      <c r="B150" s="3" t="n"/>
      <c r="C150" s="3" t="n"/>
      <c r="D150" s="3" t="n"/>
      <c r="E150" s="3" t="n"/>
      <c r="F150" s="3" t="n"/>
      <c r="G150" s="3" t="n"/>
      <c r="H150" s="3" t="n"/>
    </row>
    <row r="151">
      <c r="A151" s="3" t="n"/>
      <c r="B151" s="3" t="n"/>
      <c r="C151" s="3" t="n"/>
      <c r="D151" s="3" t="n"/>
      <c r="E151" s="3" t="n"/>
      <c r="F151" s="3" t="n"/>
      <c r="G151" s="3" t="n"/>
      <c r="H151" s="3" t="n"/>
    </row>
    <row r="152">
      <c r="A152" s="3" t="n"/>
      <c r="B152" s="3" t="n"/>
      <c r="C152" s="3" t="n"/>
      <c r="D152" s="3" t="n"/>
      <c r="E152" s="3" t="n"/>
      <c r="F152" s="3" t="n"/>
      <c r="G152" s="3" t="n"/>
      <c r="H152" s="3" t="n"/>
    </row>
    <row r="153">
      <c r="A153" s="3" t="n"/>
      <c r="B153" s="3" t="n"/>
      <c r="C153" s="3" t="n"/>
      <c r="D153" s="3" t="n"/>
      <c r="E153" s="3" t="n"/>
      <c r="F153" s="3" t="n"/>
      <c r="G153" s="3" t="n"/>
      <c r="H153" s="3" t="n"/>
    </row>
    <row r="154">
      <c r="A154" s="3" t="n"/>
      <c r="B154" s="3" t="n"/>
      <c r="C154" s="3" t="n"/>
      <c r="D154" s="3" t="n"/>
      <c r="E154" s="3" t="n"/>
      <c r="F154" s="3" t="n"/>
      <c r="G154" s="3" t="n"/>
      <c r="H154" s="3" t="n"/>
    </row>
    <row r="155">
      <c r="A155" s="3" t="n"/>
      <c r="B155" s="3" t="n"/>
      <c r="C155" s="3" t="n"/>
      <c r="D155" s="3" t="n"/>
      <c r="E155" s="3" t="n"/>
      <c r="F155" s="3" t="n"/>
      <c r="G155" s="3" t="n"/>
      <c r="H155" s="3" t="n"/>
    </row>
    <row r="156">
      <c r="A156" s="3" t="n"/>
      <c r="B156" s="3" t="n"/>
      <c r="C156" s="3" t="n"/>
      <c r="D156" s="3" t="n"/>
      <c r="E156" s="3" t="n"/>
      <c r="F156" s="3" t="n"/>
      <c r="G156" s="3" t="n"/>
      <c r="H156" s="3" t="n"/>
    </row>
    <row r="157">
      <c r="A157" s="3" t="n"/>
      <c r="B157" s="3" t="n"/>
      <c r="C157" s="3" t="n"/>
      <c r="D157" s="3" t="n"/>
      <c r="E157" s="3" t="n"/>
      <c r="F157" s="3" t="n"/>
      <c r="G157" s="3" t="n"/>
      <c r="H157" s="3" t="n"/>
    </row>
    <row r="158">
      <c r="A158" s="3" t="n"/>
      <c r="B158" s="3" t="n"/>
      <c r="C158" s="3" t="n"/>
      <c r="D158" s="3" t="n"/>
      <c r="E158" s="3" t="n"/>
      <c r="F158" s="3" t="n"/>
      <c r="G158" s="3" t="n"/>
      <c r="H158" s="3" t="n"/>
    </row>
    <row r="159">
      <c r="A159" s="3" t="n"/>
      <c r="B159" s="3" t="n"/>
      <c r="C159" s="3" t="n"/>
      <c r="D159" s="3" t="n"/>
      <c r="E159" s="3" t="n"/>
      <c r="F159" s="3" t="n"/>
      <c r="G159" s="3" t="n"/>
      <c r="H159" s="3" t="n"/>
    </row>
    <row r="160">
      <c r="A160" s="3" t="n"/>
      <c r="B160" s="3" t="n"/>
      <c r="C160" s="3" t="n"/>
      <c r="D160" s="3" t="n"/>
      <c r="E160" s="3" t="n"/>
      <c r="F160" s="3" t="n"/>
      <c r="G160" s="3" t="n"/>
      <c r="H160" s="3" t="n"/>
    </row>
    <row r="161">
      <c r="A161" s="3" t="n"/>
      <c r="B161" s="3" t="n"/>
      <c r="C161" s="3" t="n"/>
      <c r="D161" s="3" t="n"/>
      <c r="E161" s="3" t="n"/>
      <c r="F161" s="3" t="n"/>
      <c r="G161" s="3" t="n"/>
      <c r="H161" s="3" t="n"/>
    </row>
    <row r="162">
      <c r="A162" s="3" t="n"/>
      <c r="B162" s="3" t="n"/>
      <c r="C162" s="3" t="n"/>
      <c r="D162" s="3" t="n"/>
      <c r="E162" s="3" t="n"/>
      <c r="F162" s="3" t="n"/>
      <c r="G162" s="3" t="n"/>
      <c r="H162" s="3" t="n"/>
    </row>
    <row r="163">
      <c r="A163" s="3" t="n"/>
      <c r="B163" s="3" t="n"/>
      <c r="C163" s="3" t="n"/>
      <c r="D163" s="3" t="n"/>
      <c r="E163" s="3" t="n"/>
      <c r="F163" s="3" t="n"/>
      <c r="G163" s="3" t="n"/>
      <c r="H163" s="3" t="n"/>
    </row>
    <row r="164">
      <c r="A164" s="3" t="n"/>
      <c r="B164" s="3" t="n"/>
      <c r="C164" s="3" t="n"/>
      <c r="D164" s="3" t="n"/>
      <c r="E164" s="3" t="n"/>
      <c r="F164" s="3" t="n"/>
      <c r="G164" s="3" t="n"/>
      <c r="H164" s="3" t="n"/>
    </row>
    <row r="165">
      <c r="A165" s="3" t="n"/>
      <c r="B165" s="3" t="n"/>
      <c r="C165" s="3" t="n"/>
      <c r="D165" s="3" t="n"/>
      <c r="E165" s="3" t="n"/>
      <c r="F165" s="3" t="n"/>
      <c r="G165" s="3" t="n"/>
      <c r="H165" s="3" t="n"/>
    </row>
    <row r="166">
      <c r="A166" s="3" t="n"/>
      <c r="B166" s="3" t="n"/>
      <c r="C166" s="3" t="n"/>
      <c r="D166" s="3" t="n"/>
      <c r="E166" s="3" t="n"/>
      <c r="F166" s="3" t="n"/>
      <c r="G166" s="3" t="n"/>
      <c r="H166" s="3" t="n"/>
    </row>
    <row r="167">
      <c r="A167" s="3" t="n"/>
      <c r="B167" s="3" t="n"/>
      <c r="C167" s="3" t="n"/>
      <c r="D167" s="3" t="n"/>
      <c r="E167" s="3" t="n"/>
      <c r="F167" s="3" t="n"/>
      <c r="G167" s="3" t="n"/>
      <c r="H167" s="3" t="n"/>
    </row>
    <row r="168">
      <c r="A168" s="3" t="n"/>
      <c r="B168" s="3" t="n"/>
      <c r="C168" s="3" t="n"/>
      <c r="D168" s="3" t="n"/>
      <c r="E168" s="3" t="n"/>
      <c r="F168" s="3" t="n"/>
      <c r="G168" s="3" t="n"/>
      <c r="H168" s="3" t="n"/>
    </row>
    <row r="169">
      <c r="A169" s="3" t="n"/>
      <c r="B169" s="3" t="n"/>
      <c r="C169" s="3" t="n"/>
      <c r="D169" s="3" t="n"/>
      <c r="E169" s="3" t="n"/>
      <c r="F169" s="3" t="n"/>
      <c r="G169" s="3" t="n"/>
      <c r="H169" s="3" t="n"/>
    </row>
    <row r="170">
      <c r="A170" s="3" t="n"/>
      <c r="B170" s="3" t="n"/>
      <c r="C170" s="3" t="n"/>
      <c r="D170" s="3" t="n"/>
      <c r="E170" s="3" t="n"/>
      <c r="F170" s="3" t="n"/>
      <c r="G170" s="3" t="n"/>
      <c r="H170" s="3" t="n"/>
    </row>
    <row r="171">
      <c r="A171" s="3" t="n"/>
      <c r="B171" s="3" t="n"/>
      <c r="C171" s="3" t="n"/>
      <c r="D171" s="3" t="n"/>
      <c r="E171" s="3" t="n"/>
      <c r="F171" s="3" t="n"/>
      <c r="G171" s="3" t="n"/>
      <c r="H171" s="3" t="n"/>
    </row>
    <row r="172">
      <c r="A172" s="3" t="n"/>
      <c r="B172" s="3" t="n"/>
      <c r="C172" s="3" t="n"/>
      <c r="D172" s="3" t="n"/>
      <c r="E172" s="3" t="n"/>
      <c r="F172" s="3" t="n"/>
      <c r="G172" s="3" t="n"/>
      <c r="H172" s="3" t="n"/>
    </row>
    <row r="173">
      <c r="A173" s="3" t="n"/>
      <c r="B173" s="3" t="n"/>
      <c r="C173" s="3" t="n"/>
      <c r="D173" s="3" t="n"/>
      <c r="E173" s="3" t="n"/>
      <c r="F173" s="3" t="n"/>
      <c r="G173" s="3" t="n"/>
      <c r="H173" s="3" t="n"/>
    </row>
    <row r="174">
      <c r="A174" s="3" t="n"/>
      <c r="B174" s="3" t="n"/>
      <c r="C174" s="3" t="n"/>
      <c r="D174" s="3" t="n"/>
      <c r="E174" s="3" t="n"/>
      <c r="F174" s="3" t="n"/>
      <c r="G174" s="3" t="n"/>
      <c r="H174" s="3" t="n"/>
    </row>
    <row r="175">
      <c r="A175" s="3" t="n"/>
      <c r="B175" s="3" t="n"/>
      <c r="C175" s="3" t="n"/>
      <c r="D175" s="3" t="n"/>
      <c r="E175" s="3" t="n"/>
      <c r="F175" s="3" t="n"/>
      <c r="G175" s="3" t="n"/>
      <c r="H175" s="3" t="n"/>
    </row>
    <row r="176">
      <c r="A176" s="3" t="n"/>
      <c r="B176" s="3" t="n"/>
      <c r="C176" s="3" t="n"/>
      <c r="D176" s="3" t="n"/>
      <c r="E176" s="3" t="n"/>
      <c r="F176" s="3" t="n"/>
      <c r="G176" s="3" t="n"/>
      <c r="H176" s="3" t="n"/>
    </row>
    <row r="177">
      <c r="A177" s="3" t="n"/>
      <c r="B177" s="3" t="n"/>
      <c r="C177" s="3" t="n"/>
      <c r="D177" s="3" t="n"/>
      <c r="E177" s="3" t="n"/>
      <c r="F177" s="3" t="n"/>
      <c r="G177" s="3" t="n"/>
      <c r="H177" s="3" t="n"/>
    </row>
    <row r="178">
      <c r="A178" s="3" t="n"/>
      <c r="B178" s="3" t="n"/>
      <c r="C178" s="3" t="n"/>
      <c r="D178" s="3" t="n"/>
      <c r="E178" s="3" t="n"/>
      <c r="F178" s="3" t="n"/>
      <c r="G178" s="3" t="n"/>
      <c r="H178" s="3" t="n"/>
    </row>
    <row r="179">
      <c r="A179" s="3" t="n"/>
      <c r="B179" s="3" t="n"/>
      <c r="C179" s="3" t="n"/>
      <c r="D179" s="3" t="n"/>
      <c r="E179" s="3" t="n"/>
      <c r="F179" s="3" t="n"/>
      <c r="G179" s="3" t="n"/>
      <c r="H179" s="3" t="n"/>
    </row>
    <row r="180">
      <c r="A180" s="3" t="n"/>
      <c r="B180" s="3" t="n"/>
      <c r="C180" s="3" t="n"/>
      <c r="D180" s="3" t="n"/>
      <c r="E180" s="3" t="n"/>
      <c r="F180" s="3" t="n"/>
      <c r="G180" s="3" t="n"/>
      <c r="H180" s="3" t="n"/>
    </row>
    <row r="181">
      <c r="A181" s="3" t="n"/>
      <c r="B181" s="3" t="n"/>
      <c r="C181" s="3" t="n"/>
      <c r="D181" s="3" t="n"/>
      <c r="E181" s="3" t="n"/>
      <c r="F181" s="3" t="n"/>
      <c r="G181" s="3" t="n"/>
      <c r="H181" s="3" t="n"/>
    </row>
    <row r="182">
      <c r="A182" s="3" t="n"/>
      <c r="B182" s="3" t="n"/>
      <c r="C182" s="3" t="n"/>
      <c r="D182" s="3" t="n"/>
      <c r="E182" s="3" t="n"/>
      <c r="F182" s="3" t="n"/>
      <c r="G182" s="3" t="n"/>
      <c r="H182" s="3" t="n"/>
    </row>
    <row r="183">
      <c r="A183" s="3" t="n"/>
      <c r="B183" s="3" t="n"/>
      <c r="C183" s="3" t="n"/>
      <c r="D183" s="3" t="n"/>
      <c r="E183" s="3" t="n"/>
      <c r="F183" s="3" t="n"/>
      <c r="G183" s="3" t="n"/>
      <c r="H183" s="3" t="n"/>
    </row>
    <row r="184">
      <c r="A184" s="3" t="n"/>
      <c r="B184" s="3" t="n"/>
      <c r="C184" s="3" t="n"/>
      <c r="D184" s="3" t="n"/>
      <c r="E184" s="3" t="n"/>
      <c r="F184" s="3" t="n"/>
      <c r="G184" s="3" t="n"/>
      <c r="H184" s="3" t="n"/>
    </row>
    <row r="185">
      <c r="A185" s="3" t="n"/>
      <c r="B185" s="3" t="n"/>
      <c r="C185" s="3" t="n"/>
      <c r="D185" s="3" t="n"/>
      <c r="E185" s="3" t="n"/>
      <c r="F185" s="3" t="n"/>
      <c r="G185" s="3" t="n"/>
      <c r="H185" s="3" t="n"/>
    </row>
    <row r="186">
      <c r="A186" s="3" t="n"/>
      <c r="B186" s="3" t="n"/>
      <c r="C186" s="3" t="n"/>
      <c r="D186" s="3" t="n"/>
      <c r="E186" s="3" t="n"/>
      <c r="F186" s="3" t="n"/>
      <c r="G186" s="3" t="n"/>
      <c r="H186" s="3" t="n"/>
    </row>
    <row r="187">
      <c r="A187" s="3" t="n"/>
      <c r="B187" s="3" t="n"/>
      <c r="C187" s="3" t="n"/>
      <c r="D187" s="3" t="n"/>
      <c r="E187" s="3" t="n"/>
      <c r="F187" s="3" t="n"/>
      <c r="G187" s="3" t="n"/>
      <c r="H187" s="3" t="n"/>
    </row>
    <row r="188">
      <c r="A188" s="3" t="n"/>
      <c r="B188" s="3" t="n"/>
      <c r="C188" s="3" t="n"/>
      <c r="D188" s="3" t="n"/>
      <c r="E188" s="3" t="n"/>
      <c r="F188" s="3" t="n"/>
      <c r="G188" s="3" t="n"/>
      <c r="H188" s="3" t="n"/>
    </row>
    <row r="189">
      <c r="A189" s="3" t="n"/>
      <c r="B189" s="3" t="n"/>
      <c r="C189" s="3" t="n"/>
      <c r="D189" s="3" t="n"/>
      <c r="E189" s="3" t="n"/>
      <c r="F189" s="3" t="n"/>
      <c r="G189" s="3" t="n"/>
      <c r="H189" s="3" t="n"/>
    </row>
    <row r="190">
      <c r="A190" s="3" t="n"/>
      <c r="B190" s="3" t="n"/>
      <c r="C190" s="3" t="n"/>
      <c r="D190" s="3" t="n"/>
      <c r="E190" s="3" t="n"/>
      <c r="F190" s="3" t="n"/>
      <c r="G190" s="3" t="n"/>
      <c r="H190" s="3" t="n"/>
    </row>
    <row r="191">
      <c r="A191" s="3" t="n"/>
      <c r="B191" s="3" t="n"/>
      <c r="C191" s="3" t="n"/>
      <c r="D191" s="3" t="n"/>
      <c r="E191" s="3" t="n"/>
      <c r="F191" s="3" t="n"/>
      <c r="G191" s="3" t="n"/>
      <c r="H191" s="3" t="n"/>
    </row>
    <row r="192">
      <c r="A192" s="3" t="n"/>
      <c r="B192" s="3" t="n"/>
      <c r="C192" s="3" t="n"/>
      <c r="D192" s="3" t="n"/>
      <c r="E192" s="3" t="n"/>
      <c r="F192" s="3" t="n"/>
      <c r="G192" s="3" t="n"/>
      <c r="H192" s="3" t="n"/>
    </row>
    <row r="193">
      <c r="A193" s="3" t="n"/>
      <c r="B193" s="3" t="n"/>
      <c r="C193" s="3" t="n"/>
      <c r="D193" s="3" t="n"/>
      <c r="E193" s="3" t="n"/>
      <c r="F193" s="3" t="n"/>
      <c r="G193" s="3" t="n"/>
      <c r="H193" s="3" t="n"/>
    </row>
    <row r="194">
      <c r="A194" s="3" t="n"/>
      <c r="B194" s="3" t="n"/>
      <c r="C194" s="3" t="n"/>
      <c r="D194" s="3" t="n"/>
      <c r="E194" s="3" t="n"/>
      <c r="F194" s="3" t="n"/>
      <c r="G194" s="3" t="n"/>
      <c r="H194" s="3" t="n"/>
    </row>
    <row r="195">
      <c r="A195" s="3" t="n"/>
      <c r="B195" s="3" t="n"/>
      <c r="C195" s="3" t="n"/>
      <c r="D195" s="3" t="n"/>
      <c r="E195" s="3" t="n"/>
      <c r="F195" s="3" t="n"/>
      <c r="G195" s="3" t="n"/>
      <c r="H195" s="3" t="n"/>
    </row>
    <row r="196">
      <c r="A196" s="3" t="n"/>
      <c r="B196" s="3" t="n"/>
      <c r="C196" s="3" t="n"/>
      <c r="D196" s="3" t="n"/>
      <c r="E196" s="3" t="n"/>
      <c r="F196" s="3" t="n"/>
      <c r="G196" s="3" t="n"/>
      <c r="H196" s="3" t="n"/>
    </row>
    <row r="197">
      <c r="A197" s="3" t="n"/>
      <c r="B197" s="3" t="n"/>
      <c r="C197" s="3" t="n"/>
      <c r="D197" s="3" t="n"/>
      <c r="E197" s="3" t="n"/>
      <c r="F197" s="3" t="n"/>
      <c r="G197" s="3" t="n"/>
      <c r="H197" s="3" t="n"/>
    </row>
    <row r="198">
      <c r="A198" s="3" t="n"/>
      <c r="B198" s="3" t="n"/>
      <c r="C198" s="3" t="n"/>
      <c r="D198" s="3" t="n"/>
      <c r="E198" s="3" t="n"/>
      <c r="F198" s="3" t="n"/>
      <c r="G198" s="3" t="n"/>
      <c r="H198" s="3" t="n"/>
    </row>
    <row r="199">
      <c r="A199" s="3" t="n"/>
      <c r="B199" s="3" t="n"/>
      <c r="C199" s="3" t="n"/>
      <c r="D199" s="3" t="n"/>
      <c r="E199" s="3" t="n"/>
      <c r="F199" s="3" t="n"/>
      <c r="G199" s="3" t="n"/>
      <c r="H199" s="3" t="n"/>
    </row>
    <row r="200">
      <c r="A200" s="3" t="n"/>
      <c r="B200" s="3" t="n"/>
      <c r="C200" s="3" t="n"/>
      <c r="D200" s="3" t="n"/>
      <c r="E200" s="3" t="n"/>
      <c r="F200" s="3" t="n"/>
      <c r="G200" s="3" t="n"/>
      <c r="H200" s="3" t="n"/>
    </row>
    <row r="201">
      <c r="A201" s="3" t="n"/>
      <c r="B201" s="3" t="n"/>
      <c r="C201" s="3" t="n"/>
      <c r="D201" s="3" t="n"/>
      <c r="E201" s="3" t="n"/>
      <c r="F201" s="3" t="n"/>
      <c r="G201" s="3" t="n"/>
      <c r="H201" s="3" t="n"/>
    </row>
    <row r="202">
      <c r="A202" s="3" t="n"/>
      <c r="B202" s="3" t="n"/>
      <c r="C202" s="3" t="n"/>
      <c r="D202" s="3" t="n"/>
      <c r="E202" s="3" t="n"/>
      <c r="F202" s="3" t="n"/>
      <c r="G202" s="3" t="n"/>
      <c r="H202" s="3" t="n"/>
    </row>
    <row r="203">
      <c r="A203" s="3" t="n"/>
      <c r="B203" s="3" t="n"/>
      <c r="C203" s="3" t="n"/>
      <c r="D203" s="3" t="n"/>
      <c r="E203" s="3" t="n"/>
      <c r="F203" s="3" t="n"/>
      <c r="G203" s="3" t="n"/>
      <c r="H203" s="3" t="n"/>
    </row>
    <row r="204">
      <c r="A204" s="3" t="n"/>
      <c r="B204" s="3" t="n"/>
      <c r="C204" s="3" t="n"/>
      <c r="D204" s="3" t="n"/>
      <c r="E204" s="3" t="n"/>
      <c r="F204" s="3" t="n"/>
      <c r="G204" s="3" t="n"/>
      <c r="H204" s="3" t="n"/>
    </row>
    <row r="205">
      <c r="A205" s="3" t="n"/>
      <c r="B205" s="3" t="n"/>
      <c r="C205" s="3" t="n"/>
      <c r="D205" s="3" t="n"/>
      <c r="E205" s="3" t="n"/>
      <c r="F205" s="3" t="n"/>
      <c r="G205" s="3" t="n"/>
      <c r="H205" s="3" t="n"/>
    </row>
    <row r="206">
      <c r="A206" s="3" t="n"/>
      <c r="B206" s="3" t="n"/>
      <c r="C206" s="3" t="n"/>
      <c r="D206" s="3" t="n"/>
      <c r="E206" s="3" t="n"/>
      <c r="F206" s="3" t="n"/>
      <c r="G206" s="3" t="n"/>
      <c r="H206" s="3" t="n"/>
    </row>
    <row r="207">
      <c r="A207" s="3" t="n"/>
      <c r="B207" s="3" t="n"/>
      <c r="C207" s="3" t="n"/>
      <c r="D207" s="3" t="n"/>
      <c r="E207" s="3" t="n"/>
      <c r="F207" s="3" t="n"/>
      <c r="G207" s="3" t="n"/>
      <c r="H207" s="3" t="n"/>
    </row>
    <row r="208">
      <c r="A208" s="3" t="n"/>
      <c r="B208" s="3" t="n"/>
      <c r="C208" s="3" t="n"/>
      <c r="D208" s="3" t="n"/>
      <c r="E208" s="3" t="n"/>
      <c r="F208" s="3" t="n"/>
      <c r="G208" s="3" t="n"/>
      <c r="H208" s="3" t="n"/>
    </row>
    <row r="209">
      <c r="A209" s="3" t="n"/>
      <c r="B209" s="3" t="n"/>
      <c r="C209" s="3" t="n"/>
      <c r="D209" s="3" t="n"/>
      <c r="E209" s="3" t="n"/>
      <c r="F209" s="3" t="n"/>
      <c r="G209" s="3" t="n"/>
      <c r="H209" s="3" t="n"/>
    </row>
    <row r="210">
      <c r="A210" s="3" t="n"/>
      <c r="B210" s="3" t="n"/>
      <c r="C210" s="3" t="n"/>
      <c r="D210" s="3" t="n"/>
      <c r="E210" s="3" t="n"/>
      <c r="F210" s="3" t="n"/>
      <c r="G210" s="3" t="n"/>
      <c r="H210" s="3" t="n"/>
    </row>
    <row r="211">
      <c r="A211" s="3" t="n"/>
      <c r="B211" s="3" t="n"/>
      <c r="C211" s="3" t="n"/>
      <c r="D211" s="3" t="n"/>
      <c r="E211" s="3" t="n"/>
      <c r="F211" s="3" t="n"/>
      <c r="G211" s="3" t="n"/>
      <c r="H211" s="3" t="n"/>
    </row>
    <row r="212">
      <c r="A212" s="3" t="n"/>
      <c r="B212" s="3" t="n"/>
      <c r="C212" s="3" t="n"/>
      <c r="D212" s="3" t="n"/>
      <c r="E212" s="3" t="n"/>
      <c r="F212" s="3" t="n"/>
      <c r="G212" s="3" t="n"/>
      <c r="H212" s="3" t="n"/>
    </row>
    <row r="213">
      <c r="A213" s="3" t="n"/>
      <c r="B213" s="3" t="n"/>
      <c r="C213" s="3" t="n"/>
      <c r="D213" s="3" t="n"/>
      <c r="E213" s="3" t="n"/>
      <c r="F213" s="3" t="n"/>
      <c r="G213" s="3" t="n"/>
      <c r="H213" s="3" t="n"/>
    </row>
    <row r="214">
      <c r="A214" s="3" t="n"/>
      <c r="B214" s="3" t="n"/>
      <c r="C214" s="3" t="n"/>
      <c r="D214" s="3" t="n"/>
      <c r="E214" s="3" t="n"/>
      <c r="F214" s="3" t="n"/>
      <c r="G214" s="3" t="n"/>
      <c r="H214" s="3" t="n"/>
    </row>
    <row r="215">
      <c r="A215" s="3" t="n"/>
      <c r="B215" s="3" t="n"/>
      <c r="C215" s="3" t="n"/>
      <c r="D215" s="3" t="n"/>
      <c r="E215" s="3" t="n"/>
      <c r="F215" s="3" t="n"/>
      <c r="G215" s="3" t="n"/>
      <c r="H215" s="3" t="n"/>
    </row>
    <row r="216">
      <c r="A216" s="3" t="n"/>
      <c r="B216" s="3" t="n"/>
      <c r="C216" s="3" t="n"/>
      <c r="D216" s="3" t="n"/>
      <c r="E216" s="3" t="n"/>
      <c r="F216" s="3" t="n"/>
      <c r="G216" s="3" t="n"/>
      <c r="H216" s="3" t="n"/>
    </row>
    <row r="217">
      <c r="A217" s="3" t="n"/>
      <c r="B217" s="3" t="n"/>
      <c r="C217" s="3" t="n"/>
      <c r="D217" s="3" t="n"/>
      <c r="E217" s="3" t="n"/>
      <c r="F217" s="3" t="n"/>
      <c r="G217" s="3" t="n"/>
      <c r="H217" s="3" t="n"/>
    </row>
    <row r="218">
      <c r="A218" s="3" t="n"/>
      <c r="B218" s="3" t="n"/>
      <c r="C218" s="3" t="n"/>
      <c r="D218" s="3" t="n"/>
      <c r="E218" s="3" t="n"/>
      <c r="F218" s="3" t="n"/>
      <c r="G218" s="3" t="n"/>
      <c r="H218" s="3" t="n"/>
    </row>
    <row r="219">
      <c r="A219" s="3" t="n"/>
      <c r="B219" s="3" t="n"/>
      <c r="C219" s="3" t="n"/>
      <c r="D219" s="3" t="n"/>
      <c r="E219" s="3" t="n"/>
      <c r="F219" s="3" t="n"/>
      <c r="G219" s="3" t="n"/>
      <c r="H219" s="3" t="n"/>
    </row>
    <row r="220">
      <c r="A220" s="3" t="n"/>
      <c r="B220" s="3" t="n"/>
      <c r="C220" s="3" t="n"/>
      <c r="D220" s="3" t="n"/>
      <c r="E220" s="3" t="n"/>
      <c r="F220" s="3" t="n"/>
      <c r="G220" s="3" t="n"/>
      <c r="H220" s="3" t="n"/>
    </row>
    <row r="221">
      <c r="A221" s="3" t="n"/>
      <c r="B221" s="3" t="n"/>
      <c r="C221" s="3" t="n"/>
      <c r="D221" s="3" t="n"/>
      <c r="E221" s="3" t="n"/>
      <c r="F221" s="3" t="n"/>
      <c r="G221" s="3" t="n"/>
      <c r="H221" s="3" t="n"/>
    </row>
    <row r="222">
      <c r="A222" s="3" t="n"/>
      <c r="B222" s="3" t="n"/>
      <c r="C222" s="3" t="n"/>
      <c r="D222" s="3" t="n"/>
      <c r="E222" s="3" t="n"/>
      <c r="F222" s="3" t="n"/>
      <c r="G222" s="3" t="n"/>
      <c r="H222" s="3" t="n"/>
    </row>
    <row r="223">
      <c r="A223" s="3" t="n"/>
      <c r="B223" s="3" t="n"/>
      <c r="C223" s="3" t="n"/>
      <c r="D223" s="3" t="n"/>
      <c r="E223" s="3" t="n"/>
      <c r="F223" s="3" t="n"/>
      <c r="G223" s="3" t="n"/>
      <c r="H223" s="3" t="n"/>
    </row>
    <row r="224">
      <c r="A224" s="3" t="n"/>
      <c r="B224" s="3" t="n"/>
      <c r="C224" s="3" t="n"/>
      <c r="D224" s="3" t="n"/>
      <c r="E224" s="3" t="n"/>
      <c r="F224" s="3" t="n"/>
      <c r="G224" s="3" t="n"/>
      <c r="H224" s="3" t="n"/>
    </row>
    <row r="225">
      <c r="A225" s="3" t="n"/>
      <c r="B225" s="3" t="n"/>
      <c r="C225" s="3" t="n"/>
      <c r="D225" s="3" t="n"/>
      <c r="E225" s="3" t="n"/>
      <c r="F225" s="3" t="n"/>
      <c r="G225" s="3" t="n"/>
      <c r="H225" s="3" t="n"/>
    </row>
    <row r="226">
      <c r="A226" s="3" t="n"/>
      <c r="B226" s="3" t="n"/>
      <c r="C226" s="3" t="n"/>
      <c r="D226" s="3" t="n"/>
      <c r="E226" s="3" t="n"/>
      <c r="F226" s="3" t="n"/>
      <c r="G226" s="3" t="n"/>
      <c r="H226" s="3" t="n"/>
    </row>
    <row r="227">
      <c r="A227" s="3" t="n"/>
      <c r="B227" s="3" t="n"/>
      <c r="C227" s="3" t="n"/>
      <c r="D227" s="3" t="n"/>
      <c r="E227" s="3" t="n"/>
      <c r="F227" s="3" t="n"/>
      <c r="G227" s="3" t="n"/>
      <c r="H227" s="3" t="n"/>
    </row>
    <row r="228">
      <c r="A228" s="3" t="n"/>
      <c r="B228" s="3" t="n"/>
      <c r="C228" s="3" t="n"/>
      <c r="D228" s="3" t="n"/>
      <c r="E228" s="3" t="n"/>
      <c r="F228" s="3" t="n"/>
      <c r="G228" s="3" t="n"/>
      <c r="H228" s="3" t="n"/>
    </row>
    <row r="229">
      <c r="A229" s="3" t="n"/>
      <c r="B229" s="3" t="n"/>
      <c r="C229" s="3" t="n"/>
      <c r="D229" s="3" t="n"/>
      <c r="E229" s="3" t="n"/>
      <c r="F229" s="3" t="n"/>
      <c r="G229" s="3" t="n"/>
      <c r="H229" s="3" t="n"/>
    </row>
    <row r="230">
      <c r="A230" s="3" t="n"/>
      <c r="B230" s="3" t="n"/>
      <c r="C230" s="3" t="n"/>
      <c r="D230" s="3" t="n"/>
      <c r="E230" s="3" t="n"/>
      <c r="F230" s="3" t="n"/>
      <c r="G230" s="3" t="n"/>
      <c r="H230" s="3" t="n"/>
    </row>
    <row r="231">
      <c r="A231" s="3" t="n"/>
      <c r="B231" s="3" t="n"/>
      <c r="C231" s="3" t="n"/>
      <c r="D231" s="3" t="n"/>
      <c r="E231" s="3" t="n"/>
      <c r="F231" s="3" t="n"/>
      <c r="G231" s="3" t="n"/>
      <c r="H231" s="3" t="n"/>
    </row>
    <row r="232">
      <c r="A232" s="3" t="n"/>
      <c r="B232" s="3" t="n"/>
      <c r="C232" s="3" t="n"/>
      <c r="D232" s="3" t="n"/>
      <c r="E232" s="3" t="n"/>
      <c r="F232" s="3" t="n"/>
      <c r="G232" s="3" t="n"/>
      <c r="H232" s="3" t="n"/>
    </row>
    <row r="233">
      <c r="A233" s="3" t="n"/>
      <c r="B233" s="3" t="n"/>
      <c r="C233" s="3" t="n"/>
      <c r="D233" s="3" t="n"/>
      <c r="E233" s="3" t="n"/>
      <c r="F233" s="3" t="n"/>
      <c r="G233" s="3" t="n"/>
      <c r="H233" s="3" t="n"/>
    </row>
    <row r="234">
      <c r="A234" s="3" t="n"/>
      <c r="B234" s="3" t="n"/>
      <c r="C234" s="3" t="n"/>
      <c r="D234" s="3" t="n"/>
      <c r="E234" s="3" t="n"/>
      <c r="F234" s="3" t="n"/>
      <c r="G234" s="3" t="n"/>
      <c r="H234" s="3" t="n"/>
    </row>
    <row r="235">
      <c r="A235" s="3" t="n"/>
      <c r="B235" s="3" t="n"/>
      <c r="C235" s="3" t="n"/>
      <c r="D235" s="3" t="n"/>
      <c r="E235" s="3" t="n"/>
      <c r="F235" s="3" t="n"/>
      <c r="G235" s="3" t="n"/>
      <c r="H235" s="3" t="n"/>
    </row>
    <row r="236">
      <c r="A236" s="3" t="n"/>
      <c r="B236" s="3" t="n"/>
      <c r="C236" s="3" t="n"/>
      <c r="D236" s="3" t="n"/>
      <c r="E236" s="3" t="n"/>
      <c r="F236" s="3" t="n"/>
      <c r="G236" s="3" t="n"/>
      <c r="H236" s="3" t="n"/>
    </row>
    <row r="237">
      <c r="A237" s="3" t="n"/>
      <c r="B237" s="3" t="n"/>
      <c r="C237" s="3" t="n"/>
      <c r="D237" s="3" t="n"/>
      <c r="E237" s="3" t="n"/>
      <c r="F237" s="3" t="n"/>
      <c r="G237" s="3" t="n"/>
      <c r="H237" s="3" t="n"/>
    </row>
    <row r="238">
      <c r="A238" s="3" t="n"/>
      <c r="B238" s="3" t="n"/>
      <c r="C238" s="3" t="n"/>
      <c r="D238" s="3" t="n"/>
      <c r="E238" s="3" t="n"/>
      <c r="F238" s="3" t="n"/>
      <c r="G238" s="3" t="n"/>
      <c r="H238" s="3" t="n"/>
    </row>
    <row r="239">
      <c r="A239" s="3" t="n"/>
      <c r="B239" s="3" t="n"/>
      <c r="C239" s="3" t="n"/>
      <c r="D239" s="3" t="n"/>
      <c r="E239" s="3" t="n"/>
      <c r="F239" s="3" t="n"/>
      <c r="G239" s="3" t="n"/>
      <c r="H239" s="3" t="n"/>
    </row>
    <row r="240">
      <c r="A240" s="3" t="n"/>
      <c r="B240" s="3" t="n"/>
      <c r="C240" s="3" t="n"/>
      <c r="D240" s="3" t="n"/>
      <c r="E240" s="3" t="n"/>
      <c r="F240" s="3" t="n"/>
      <c r="G240" s="3" t="n"/>
      <c r="H240" s="3" t="n"/>
    </row>
    <row r="241">
      <c r="A241" s="3" t="n"/>
      <c r="B241" s="3" t="n"/>
      <c r="C241" s="3" t="n"/>
      <c r="D241" s="3" t="n"/>
      <c r="E241" s="3" t="n"/>
      <c r="F241" s="3" t="n"/>
      <c r="G241" s="3" t="n"/>
      <c r="H241" s="3" t="n"/>
    </row>
    <row r="242">
      <c r="A242" s="3" t="n"/>
      <c r="B242" s="3" t="n"/>
      <c r="C242" s="3" t="n"/>
      <c r="D242" s="3" t="n"/>
      <c r="E242" s="3" t="n"/>
      <c r="F242" s="3" t="n"/>
      <c r="G242" s="3" t="n"/>
      <c r="H242" s="3" t="n"/>
    </row>
    <row r="243">
      <c r="A243" s="3" t="n"/>
      <c r="B243" s="3" t="n"/>
      <c r="C243" s="3" t="n"/>
      <c r="D243" s="3" t="n"/>
      <c r="E243" s="3" t="n"/>
      <c r="F243" s="3" t="n"/>
      <c r="G243" s="3" t="n"/>
      <c r="H243" s="3" t="n"/>
    </row>
    <row r="244">
      <c r="A244" s="3" t="n"/>
      <c r="B244" s="3" t="n"/>
      <c r="C244" s="3" t="n"/>
      <c r="D244" s="3" t="n"/>
      <c r="E244" s="3" t="n"/>
      <c r="F244" s="3" t="n"/>
      <c r="G244" s="3" t="n"/>
      <c r="H244" s="3" t="n"/>
    </row>
    <row r="245">
      <c r="A245" s="3" t="n"/>
      <c r="B245" s="3" t="n"/>
      <c r="C245" s="3" t="n"/>
      <c r="D245" s="3" t="n"/>
      <c r="E245" s="3" t="n"/>
      <c r="F245" s="3" t="n"/>
      <c r="G245" s="3" t="n"/>
      <c r="H245" s="3" t="n"/>
    </row>
    <row r="246">
      <c r="A246" s="3" t="n"/>
      <c r="B246" s="3" t="n"/>
      <c r="C246" s="3" t="n"/>
      <c r="D246" s="3" t="n"/>
      <c r="E246" s="3" t="n"/>
      <c r="F246" s="3" t="n"/>
      <c r="G246" s="3" t="n"/>
      <c r="H246" s="3" t="n"/>
    </row>
    <row r="247">
      <c r="A247" s="3" t="n"/>
      <c r="B247" s="3" t="n"/>
      <c r="C247" s="3" t="n"/>
      <c r="D247" s="3" t="n"/>
      <c r="E247" s="3" t="n"/>
      <c r="F247" s="3" t="n"/>
      <c r="G247" s="3" t="n"/>
      <c r="H247" s="3" t="n"/>
    </row>
    <row r="248">
      <c r="A248" s="3" t="n"/>
      <c r="B248" s="3" t="n"/>
      <c r="C248" s="3" t="n"/>
      <c r="D248" s="3" t="n"/>
      <c r="E248" s="3" t="n"/>
      <c r="F248" s="3" t="n"/>
      <c r="G248" s="3" t="n"/>
      <c r="H248" s="3" t="n"/>
    </row>
    <row r="249">
      <c r="A249" s="3" t="n"/>
      <c r="B249" s="3" t="n"/>
      <c r="C249" s="3" t="n"/>
      <c r="D249" s="3" t="n"/>
      <c r="E249" s="3" t="n"/>
      <c r="F249" s="3" t="n"/>
      <c r="G249" s="3" t="n"/>
      <c r="H249" s="3" t="n"/>
    </row>
    <row r="250">
      <c r="A250" s="3" t="n"/>
      <c r="B250" s="3" t="n"/>
      <c r="C250" s="3" t="n"/>
      <c r="D250" s="3" t="n"/>
      <c r="E250" s="3" t="n"/>
      <c r="F250" s="3" t="n"/>
      <c r="G250" s="3" t="n"/>
      <c r="H250" s="3" t="n"/>
    </row>
    <row r="251">
      <c r="A251" s="3" t="n"/>
      <c r="B251" s="3" t="n"/>
      <c r="C251" s="3" t="n"/>
      <c r="D251" s="3" t="n"/>
      <c r="E251" s="3" t="n"/>
      <c r="F251" s="3" t="n"/>
      <c r="G251" s="3" t="n"/>
      <c r="H251" s="3" t="n"/>
    </row>
    <row r="252">
      <c r="A252" s="3" t="n"/>
      <c r="B252" s="3" t="n"/>
      <c r="C252" s="3" t="n"/>
      <c r="D252" s="3" t="n"/>
      <c r="E252" s="3" t="n"/>
      <c r="F252" s="3" t="n"/>
      <c r="G252" s="3" t="n"/>
      <c r="H252" s="3" t="n"/>
    </row>
    <row r="253">
      <c r="A253" s="3" t="n"/>
      <c r="B253" s="3" t="n"/>
      <c r="C253" s="3" t="n"/>
      <c r="D253" s="3" t="n"/>
      <c r="E253" s="3" t="n"/>
      <c r="F253" s="3" t="n"/>
      <c r="G253" s="3" t="n"/>
      <c r="H253" s="3" t="n"/>
    </row>
    <row r="254">
      <c r="A254" s="3" t="n"/>
      <c r="B254" s="3" t="n"/>
      <c r="C254" s="3" t="n"/>
      <c r="D254" s="3" t="n"/>
      <c r="E254" s="3" t="n"/>
      <c r="F254" s="3" t="n"/>
      <c r="G254" s="3" t="n"/>
      <c r="H254" s="3" t="n"/>
    </row>
    <row r="255">
      <c r="A255" s="3" t="n"/>
      <c r="B255" s="3" t="n"/>
      <c r="C255" s="3" t="n"/>
      <c r="D255" s="3" t="n"/>
      <c r="E255" s="3" t="n"/>
      <c r="F255" s="3" t="n"/>
      <c r="G255" s="3" t="n"/>
      <c r="H255" s="3" t="n"/>
    </row>
    <row r="256">
      <c r="A256" s="3" t="n"/>
      <c r="B256" s="3" t="n"/>
      <c r="C256" s="3" t="n"/>
      <c r="D256" s="3" t="n"/>
      <c r="E256" s="3" t="n"/>
      <c r="F256" s="3" t="n"/>
      <c r="G256" s="3" t="n"/>
      <c r="H256" s="3" t="n"/>
    </row>
    <row r="257">
      <c r="A257" s="3" t="n"/>
      <c r="B257" s="3" t="n"/>
      <c r="C257" s="3" t="n"/>
      <c r="D257" s="3" t="n"/>
      <c r="E257" s="3" t="n"/>
      <c r="F257" s="3" t="n"/>
      <c r="G257" s="3" t="n"/>
      <c r="H257" s="3" t="n"/>
    </row>
    <row r="258">
      <c r="A258" s="3" t="n"/>
      <c r="B258" s="3" t="n"/>
      <c r="C258" s="3" t="n"/>
      <c r="D258" s="3" t="n"/>
      <c r="E258" s="3" t="n"/>
      <c r="F258" s="3" t="n"/>
      <c r="G258" s="3" t="n"/>
      <c r="H258" s="3" t="n"/>
    </row>
    <row r="259">
      <c r="A259" s="3" t="n"/>
      <c r="B259" s="3" t="n"/>
      <c r="C259" s="3" t="n"/>
      <c r="D259" s="3" t="n"/>
      <c r="E259" s="3" t="n"/>
      <c r="F259" s="3" t="n"/>
      <c r="G259" s="3" t="n"/>
      <c r="H259" s="3" t="n"/>
    </row>
    <row r="260">
      <c r="A260" s="3" t="n"/>
      <c r="B260" s="3" t="n"/>
      <c r="C260" s="3" t="n"/>
      <c r="D260" s="3" t="n"/>
      <c r="E260" s="3" t="n"/>
      <c r="F260" s="3" t="n"/>
      <c r="G260" s="3" t="n"/>
      <c r="H260" s="3" t="n"/>
    </row>
    <row r="261">
      <c r="A261" s="3" t="n"/>
      <c r="B261" s="3" t="n"/>
      <c r="C261" s="3" t="n"/>
      <c r="D261" s="3" t="n"/>
      <c r="E261" s="3" t="n"/>
      <c r="F261" s="3" t="n"/>
      <c r="G261" s="3" t="n"/>
      <c r="H261" s="3" t="n"/>
    </row>
    <row r="262">
      <c r="A262" s="3" t="n"/>
      <c r="B262" s="3" t="n"/>
      <c r="C262" s="3" t="n"/>
      <c r="D262" s="3" t="n"/>
      <c r="E262" s="3" t="n"/>
      <c r="F262" s="3" t="n"/>
      <c r="G262" s="3" t="n"/>
      <c r="H262" s="3" t="n"/>
    </row>
    <row r="263">
      <c r="A263" s="3" t="n"/>
      <c r="B263" s="3" t="n"/>
      <c r="C263" s="3" t="n"/>
      <c r="D263" s="3" t="n"/>
      <c r="E263" s="3" t="n"/>
      <c r="F263" s="3" t="n"/>
      <c r="G263" s="3" t="n"/>
      <c r="H263" s="3" t="n"/>
    </row>
    <row r="264">
      <c r="A264" s="3" t="n"/>
      <c r="B264" s="3" t="n"/>
      <c r="C264" s="3" t="n"/>
      <c r="D264" s="3" t="n"/>
      <c r="E264" s="3" t="n"/>
      <c r="F264" s="3" t="n"/>
      <c r="G264" s="3" t="n"/>
      <c r="H264" s="3" t="n"/>
    </row>
    <row r="265">
      <c r="A265" s="3" t="n"/>
      <c r="B265" s="3" t="n"/>
      <c r="C265" s="3" t="n"/>
      <c r="D265" s="3" t="n"/>
      <c r="E265" s="3" t="n"/>
      <c r="F265" s="3" t="n"/>
      <c r="G265" s="3" t="n"/>
      <c r="H265" s="3" t="n"/>
    </row>
    <row r="266">
      <c r="A266" s="3" t="n"/>
      <c r="B266" s="3" t="n"/>
      <c r="C266" s="3" t="n"/>
      <c r="D266" s="3" t="n"/>
      <c r="E266" s="3" t="n"/>
      <c r="F266" s="3" t="n"/>
      <c r="G266" s="3" t="n"/>
      <c r="H266" s="3" t="n"/>
    </row>
    <row r="267">
      <c r="A267" s="3" t="n"/>
      <c r="B267" s="3" t="n"/>
      <c r="C267" s="3" t="n"/>
      <c r="D267" s="3" t="n"/>
      <c r="E267" s="3" t="n"/>
      <c r="F267" s="3" t="n"/>
      <c r="G267" s="3" t="n"/>
      <c r="H267" s="3" t="n"/>
    </row>
    <row r="268">
      <c r="A268" s="3" t="n"/>
      <c r="B268" s="3" t="n"/>
      <c r="C268" s="3" t="n"/>
      <c r="D268" s="3" t="n"/>
      <c r="E268" s="3" t="n"/>
      <c r="F268" s="3" t="n"/>
      <c r="G268" s="3" t="n"/>
      <c r="H268" s="3" t="n"/>
    </row>
    <row r="269">
      <c r="A269" s="3" t="n"/>
      <c r="B269" s="3" t="n"/>
      <c r="C269" s="3" t="n"/>
      <c r="D269" s="3" t="n"/>
      <c r="E269" s="3" t="n"/>
      <c r="F269" s="3" t="n"/>
      <c r="G269" s="3" t="n"/>
      <c r="H269" s="3" t="n"/>
    </row>
    <row r="270">
      <c r="A270" s="3" t="n"/>
      <c r="B270" s="3" t="n"/>
      <c r="C270" s="3" t="n"/>
      <c r="D270" s="3" t="n"/>
      <c r="E270" s="3" t="n"/>
      <c r="F270" s="3" t="n"/>
      <c r="G270" s="3" t="n"/>
      <c r="H270" s="3" t="n"/>
    </row>
    <row r="271">
      <c r="A271" s="3" t="n"/>
      <c r="B271" s="3" t="n"/>
      <c r="C271" s="3" t="n"/>
      <c r="D271" s="3" t="n"/>
      <c r="E271" s="3" t="n"/>
      <c r="F271" s="3" t="n"/>
      <c r="G271" s="3" t="n"/>
      <c r="H271" s="3" t="n"/>
    </row>
    <row r="272">
      <c r="A272" s="3" t="n"/>
      <c r="B272" s="3" t="n"/>
      <c r="C272" s="3" t="n"/>
      <c r="D272" s="3" t="n"/>
      <c r="E272" s="3" t="n"/>
      <c r="F272" s="3" t="n"/>
      <c r="G272" s="3" t="n"/>
      <c r="H272" s="3" t="n"/>
    </row>
    <row r="273">
      <c r="A273" s="3" t="n"/>
      <c r="B273" s="3" t="n"/>
      <c r="C273" s="3" t="n"/>
      <c r="D273" s="3" t="n"/>
      <c r="E273" s="3" t="n"/>
      <c r="F273" s="3" t="n"/>
      <c r="G273" s="3" t="n"/>
      <c r="H273" s="3" t="n"/>
    </row>
    <row r="274">
      <c r="A274" s="3" t="n"/>
      <c r="B274" s="3" t="n"/>
      <c r="C274" s="3" t="n"/>
      <c r="D274" s="3" t="n"/>
      <c r="E274" s="3" t="n"/>
      <c r="F274" s="3" t="n"/>
      <c r="G274" s="3" t="n"/>
      <c r="H274" s="3" t="n"/>
    </row>
    <row r="275">
      <c r="A275" s="3" t="n"/>
      <c r="B275" s="3" t="n"/>
      <c r="C275" s="3" t="n"/>
      <c r="D275" s="3" t="n"/>
      <c r="E275" s="3" t="n"/>
      <c r="F275" s="3" t="n"/>
      <c r="G275" s="3" t="n"/>
      <c r="H275" s="3" t="n"/>
    </row>
    <row r="276">
      <c r="A276" s="3" t="n"/>
      <c r="B276" s="3" t="n"/>
      <c r="C276" s="3" t="n"/>
      <c r="D276" s="3" t="n"/>
      <c r="E276" s="3" t="n"/>
      <c r="F276" s="3" t="n"/>
      <c r="G276" s="3" t="n"/>
      <c r="H276" s="3" t="n"/>
    </row>
    <row r="277">
      <c r="A277" s="3" t="n"/>
      <c r="B277" s="3" t="n"/>
      <c r="C277" s="3" t="n"/>
      <c r="D277" s="3" t="n"/>
      <c r="E277" s="3" t="n"/>
      <c r="F277" s="3" t="n"/>
      <c r="G277" s="3" t="n"/>
      <c r="H277" s="3" t="n"/>
    </row>
    <row r="278">
      <c r="A278" s="3" t="n"/>
      <c r="B278" s="3" t="n"/>
      <c r="C278" s="3" t="n"/>
      <c r="D278" s="3" t="n"/>
      <c r="E278" s="3" t="n"/>
      <c r="F278" s="3" t="n"/>
      <c r="G278" s="3" t="n"/>
      <c r="H278" s="3" t="n"/>
    </row>
    <row r="279">
      <c r="A279" s="3" t="n"/>
      <c r="B279" s="3" t="n"/>
      <c r="C279" s="3" t="n"/>
      <c r="D279" s="3" t="n"/>
      <c r="E279" s="3" t="n"/>
      <c r="F279" s="3" t="n"/>
      <c r="G279" s="3" t="n"/>
      <c r="H279" s="3" t="n"/>
    </row>
    <row r="280">
      <c r="A280" s="3" t="n"/>
      <c r="B280" s="3" t="n"/>
      <c r="C280" s="3" t="n"/>
      <c r="D280" s="3" t="n"/>
      <c r="E280" s="3" t="n"/>
      <c r="F280" s="3" t="n"/>
      <c r="G280" s="3" t="n"/>
      <c r="H280" s="3" t="n"/>
    </row>
    <row r="281">
      <c r="A281" s="3" t="n"/>
      <c r="B281" s="3" t="n"/>
      <c r="C281" s="3" t="n"/>
      <c r="D281" s="3" t="n"/>
      <c r="E281" s="3" t="n"/>
      <c r="F281" s="3" t="n"/>
      <c r="G281" s="3" t="n"/>
      <c r="H281" s="3" t="n"/>
    </row>
    <row r="282">
      <c r="A282" s="3" t="n"/>
      <c r="B282" s="3" t="n"/>
      <c r="C282" s="3" t="n"/>
      <c r="D282" s="3" t="n"/>
      <c r="E282" s="3" t="n"/>
      <c r="F282" s="3" t="n"/>
      <c r="G282" s="3" t="n"/>
      <c r="H282" s="3" t="n"/>
    </row>
    <row r="283">
      <c r="A283" s="3" t="n"/>
      <c r="B283" s="3" t="n"/>
      <c r="C283" s="3" t="n"/>
      <c r="D283" s="3" t="n"/>
      <c r="E283" s="3" t="n"/>
      <c r="F283" s="3" t="n"/>
      <c r="G283" s="3" t="n"/>
      <c r="H283" s="3" t="n"/>
    </row>
    <row r="284">
      <c r="A284" s="3" t="n"/>
      <c r="B284" s="3" t="n"/>
      <c r="C284" s="3" t="n"/>
      <c r="D284" s="3" t="n"/>
      <c r="E284" s="3" t="n"/>
      <c r="F284" s="3" t="n"/>
      <c r="G284" s="3" t="n"/>
      <c r="H284" s="3" t="n"/>
    </row>
    <row r="285">
      <c r="A285" s="3" t="n"/>
      <c r="B285" s="3" t="n"/>
      <c r="C285" s="3" t="n"/>
      <c r="D285" s="3" t="n"/>
      <c r="E285" s="3" t="n"/>
      <c r="F285" s="3" t="n"/>
      <c r="G285" s="3" t="n"/>
      <c r="H285" s="3" t="n"/>
    </row>
    <row r="286">
      <c r="A286" s="3" t="n"/>
      <c r="B286" s="3" t="n"/>
      <c r="C286" s="3" t="n"/>
      <c r="D286" s="3" t="n"/>
      <c r="E286" s="3" t="n"/>
      <c r="F286" s="3" t="n"/>
      <c r="G286" s="3" t="n"/>
      <c r="H286" s="3" t="n"/>
    </row>
    <row r="287">
      <c r="A287" s="3" t="n"/>
      <c r="B287" s="3" t="n"/>
      <c r="C287" s="3" t="n"/>
      <c r="D287" s="3" t="n"/>
      <c r="E287" s="3" t="n"/>
      <c r="F287" s="3" t="n"/>
      <c r="G287" s="3" t="n"/>
      <c r="H287" s="3" t="n"/>
    </row>
    <row r="288">
      <c r="A288" s="3" t="n"/>
      <c r="B288" s="3" t="n"/>
      <c r="C288" s="3" t="n"/>
      <c r="D288" s="3" t="n"/>
      <c r="E288" s="3" t="n"/>
      <c r="F288" s="3" t="n"/>
      <c r="G288" s="3" t="n"/>
      <c r="H288" s="3" t="n"/>
    </row>
    <row r="289">
      <c r="A289" s="3" t="n"/>
      <c r="B289" s="3" t="n"/>
      <c r="C289" s="3" t="n"/>
      <c r="D289" s="3" t="n"/>
      <c r="E289" s="3" t="n"/>
      <c r="F289" s="3" t="n"/>
      <c r="G289" s="3" t="n"/>
      <c r="H289" s="3" t="n"/>
    </row>
    <row r="290">
      <c r="A290" s="3" t="n"/>
      <c r="B290" s="3" t="n"/>
      <c r="C290" s="3" t="n"/>
      <c r="D290" s="3" t="n"/>
      <c r="E290" s="3" t="n"/>
      <c r="F290" s="3" t="n"/>
      <c r="G290" s="3" t="n"/>
      <c r="H290" s="3" t="n"/>
    </row>
    <row r="291">
      <c r="A291" s="3" t="n"/>
      <c r="B291" s="3" t="n"/>
      <c r="C291" s="3" t="n"/>
      <c r="D291" s="3" t="n"/>
      <c r="E291" s="3" t="n"/>
      <c r="F291" s="3" t="n"/>
      <c r="G291" s="3" t="n"/>
      <c r="H291" s="3" t="n"/>
    </row>
    <row r="292">
      <c r="A292" s="3" t="n"/>
      <c r="B292" s="3" t="n"/>
      <c r="C292" s="3" t="n"/>
      <c r="D292" s="3" t="n"/>
      <c r="E292" s="3" t="n"/>
      <c r="F292" s="3" t="n"/>
      <c r="G292" s="3" t="n"/>
      <c r="H292" s="3" t="n"/>
    </row>
    <row r="293">
      <c r="A293" s="3" t="n"/>
      <c r="B293" s="3" t="n"/>
      <c r="C293" s="3" t="n"/>
      <c r="D293" s="3" t="n"/>
      <c r="E293" s="3" t="n"/>
      <c r="F293" s="3" t="n"/>
      <c r="G293" s="3" t="n"/>
      <c r="H293" s="3" t="n"/>
    </row>
    <row r="294">
      <c r="A294" s="3" t="n"/>
      <c r="B294" s="3" t="n"/>
      <c r="C294" s="3" t="n"/>
      <c r="D294" s="3" t="n"/>
      <c r="E294" s="3" t="n"/>
      <c r="F294" s="3" t="n"/>
      <c r="G294" s="3" t="n"/>
      <c r="H294" s="3" t="n"/>
    </row>
    <row r="295">
      <c r="A295" s="3" t="n"/>
      <c r="B295" s="3" t="n"/>
      <c r="C295" s="3" t="n"/>
      <c r="D295" s="3" t="n"/>
      <c r="E295" s="3" t="n"/>
      <c r="F295" s="3" t="n"/>
      <c r="G295" s="3" t="n"/>
      <c r="H295" s="3" t="n"/>
    </row>
    <row r="296">
      <c r="A296" s="3" t="n"/>
      <c r="B296" s="3" t="n"/>
      <c r="C296" s="3" t="n"/>
      <c r="D296" s="3" t="n"/>
      <c r="E296" s="3" t="n"/>
      <c r="F296" s="3" t="n"/>
      <c r="G296" s="3" t="n"/>
      <c r="H296" s="3" t="n"/>
    </row>
    <row r="297">
      <c r="A297" s="3" t="n"/>
      <c r="B297" s="3" t="n"/>
      <c r="C297" s="3" t="n"/>
      <c r="D297" s="3" t="n"/>
      <c r="E297" s="3" t="n"/>
      <c r="F297" s="3" t="n"/>
      <c r="G297" s="3" t="n"/>
      <c r="H297" s="3" t="n"/>
    </row>
    <row r="298">
      <c r="A298" s="3" t="n"/>
      <c r="B298" s="3" t="n"/>
      <c r="C298" s="3" t="n"/>
      <c r="D298" s="3" t="n"/>
      <c r="E298" s="3" t="n"/>
      <c r="F298" s="3" t="n"/>
      <c r="G298" s="3" t="n"/>
      <c r="H298" s="3" t="n"/>
    </row>
    <row r="299">
      <c r="A299" s="3" t="n"/>
      <c r="B299" s="3" t="n"/>
      <c r="C299" s="3" t="n"/>
      <c r="D299" s="3" t="n"/>
      <c r="E299" s="3" t="n"/>
      <c r="F299" s="3" t="n"/>
      <c r="G299" s="3" t="n"/>
      <c r="H299" s="3" t="n"/>
    </row>
    <row r="300">
      <c r="A300" s="3" t="n"/>
      <c r="B300" s="3" t="n"/>
      <c r="C300" s="3" t="n"/>
      <c r="D300" s="3" t="n"/>
      <c r="E300" s="3" t="n"/>
      <c r="F300" s="3" t="n"/>
      <c r="G300" s="3" t="n"/>
      <c r="H300" s="3" t="n"/>
    </row>
    <row r="301">
      <c r="A301" s="3" t="n"/>
      <c r="B301" s="3" t="n"/>
      <c r="C301" s="3" t="n"/>
      <c r="D301" s="3" t="n"/>
      <c r="E301" s="3" t="n"/>
      <c r="F301" s="3" t="n"/>
      <c r="G301" s="3" t="n"/>
      <c r="H301" s="3" t="n"/>
    </row>
    <row r="302">
      <c r="A302" s="3" t="n"/>
      <c r="B302" s="3" t="n"/>
      <c r="C302" s="3" t="n"/>
      <c r="D302" s="3" t="n"/>
      <c r="E302" s="3" t="n"/>
      <c r="F302" s="3" t="n"/>
      <c r="G302" s="3" t="n"/>
      <c r="H302" s="3" t="n"/>
    </row>
    <row r="303">
      <c r="A303" s="3" t="n"/>
      <c r="B303" s="3" t="n"/>
      <c r="C303" s="3" t="n"/>
      <c r="D303" s="3" t="n"/>
      <c r="E303" s="3" t="n"/>
      <c r="F303" s="3" t="n"/>
      <c r="G303" s="3" t="n"/>
      <c r="H303" s="3" t="n"/>
    </row>
    <row r="304">
      <c r="A304" s="3" t="n"/>
      <c r="B304" s="3" t="n"/>
      <c r="C304" s="3" t="n"/>
      <c r="D304" s="3" t="n"/>
      <c r="E304" s="3" t="n"/>
      <c r="F304" s="3" t="n"/>
      <c r="G304" s="3" t="n"/>
      <c r="H304" s="3" t="n"/>
    </row>
    <row r="305">
      <c r="A305" s="3" t="n"/>
      <c r="B305" s="3" t="n"/>
      <c r="C305" s="3" t="n"/>
      <c r="D305" s="3" t="n"/>
      <c r="E305" s="3" t="n"/>
      <c r="F305" s="3" t="n"/>
      <c r="G305" s="3" t="n"/>
      <c r="H305" s="3" t="n"/>
    </row>
    <row r="306">
      <c r="A306" s="3" t="n"/>
      <c r="B306" s="3" t="n"/>
      <c r="C306" s="3" t="n"/>
      <c r="D306" s="3" t="n"/>
      <c r="E306" s="3" t="n"/>
      <c r="F306" s="3" t="n"/>
      <c r="G306" s="3" t="n"/>
      <c r="H306" s="3" t="n"/>
    </row>
    <row r="307">
      <c r="A307" s="3" t="n"/>
      <c r="B307" s="3" t="n"/>
      <c r="C307" s="3" t="n"/>
      <c r="D307" s="3" t="n"/>
      <c r="E307" s="3" t="n"/>
      <c r="F307" s="3" t="n"/>
      <c r="G307" s="3" t="n"/>
      <c r="H307" s="3" t="n"/>
    </row>
    <row r="308">
      <c r="A308" s="3" t="n"/>
      <c r="B308" s="3" t="n"/>
      <c r="C308" s="3" t="n"/>
      <c r="D308" s="3" t="n"/>
      <c r="E308" s="3" t="n"/>
      <c r="F308" s="3" t="n"/>
      <c r="G308" s="3" t="n"/>
      <c r="H308" s="3" t="n"/>
    </row>
    <row r="309">
      <c r="A309" s="3" t="n"/>
      <c r="B309" s="3" t="n"/>
      <c r="C309" s="3" t="n"/>
      <c r="D309" s="3" t="n"/>
      <c r="E309" s="3" t="n"/>
      <c r="F309" s="3" t="n"/>
      <c r="G309" s="3" t="n"/>
      <c r="H309" s="3" t="n"/>
    </row>
    <row r="310">
      <c r="A310" s="3" t="n"/>
      <c r="B310" s="3" t="n"/>
      <c r="C310" s="3" t="n"/>
      <c r="D310" s="3" t="n"/>
      <c r="E310" s="3" t="n"/>
      <c r="F310" s="3" t="n"/>
      <c r="G310" s="3" t="n"/>
      <c r="H310" s="3" t="n"/>
    </row>
    <row r="311">
      <c r="A311" s="3" t="n"/>
      <c r="B311" s="3" t="n"/>
      <c r="C311" s="3" t="n"/>
      <c r="D311" s="3" t="n"/>
      <c r="E311" s="3" t="n"/>
      <c r="F311" s="3" t="n"/>
      <c r="G311" s="3" t="n"/>
      <c r="H311" s="3" t="n"/>
    </row>
    <row r="312">
      <c r="A312" s="3" t="n"/>
      <c r="B312" s="3" t="n"/>
      <c r="C312" s="3" t="n"/>
      <c r="D312" s="3" t="n"/>
      <c r="E312" s="3" t="n"/>
      <c r="F312" s="3" t="n"/>
      <c r="G312" s="3" t="n"/>
      <c r="H312" s="3" t="n"/>
    </row>
    <row r="313">
      <c r="A313" s="3" t="n"/>
      <c r="B313" s="3" t="n"/>
      <c r="C313" s="3" t="n"/>
      <c r="D313" s="3" t="n"/>
      <c r="E313" s="3" t="n"/>
      <c r="F313" s="3" t="n"/>
      <c r="G313" s="3" t="n"/>
      <c r="H313" s="3" t="n"/>
    </row>
    <row r="314">
      <c r="A314" s="3" t="n"/>
      <c r="B314" s="3" t="n"/>
      <c r="C314" s="3" t="n"/>
      <c r="D314" s="3" t="n"/>
      <c r="E314" s="3" t="n"/>
      <c r="F314" s="3" t="n"/>
      <c r="G314" s="3" t="n"/>
      <c r="H314" s="3" t="n"/>
    </row>
    <row r="315">
      <c r="A315" s="3" t="n"/>
      <c r="B315" s="3" t="n"/>
      <c r="C315" s="3" t="n"/>
      <c r="D315" s="3" t="n"/>
      <c r="E315" s="3" t="n"/>
      <c r="F315" s="3" t="n"/>
      <c r="G315" s="3" t="n"/>
      <c r="H315" s="3" t="n"/>
    </row>
    <row r="316">
      <c r="A316" s="3" t="n"/>
      <c r="B316" s="3" t="n"/>
      <c r="C316" s="3" t="n"/>
      <c r="D316" s="3" t="n"/>
      <c r="E316" s="3" t="n"/>
      <c r="F316" s="3" t="n"/>
      <c r="G316" s="3" t="n"/>
      <c r="H316" s="3" t="n"/>
    </row>
    <row r="317">
      <c r="A317" s="3" t="n"/>
      <c r="B317" s="3" t="n"/>
      <c r="C317" s="3" t="n"/>
      <c r="D317" s="3" t="n"/>
      <c r="E317" s="3" t="n"/>
      <c r="F317" s="3" t="n"/>
      <c r="G317" s="3" t="n"/>
      <c r="H317" s="3" t="n"/>
    </row>
    <row r="318">
      <c r="A318" s="3" t="n"/>
      <c r="B318" s="3" t="n"/>
      <c r="C318" s="3" t="n"/>
      <c r="D318" s="3" t="n"/>
      <c r="E318" s="3" t="n"/>
      <c r="F318" s="3" t="n"/>
      <c r="G318" s="3" t="n"/>
      <c r="H318" s="3" t="n"/>
    </row>
    <row r="319">
      <c r="A319" s="3" t="n"/>
      <c r="B319" s="3" t="n"/>
      <c r="C319" s="3" t="n"/>
      <c r="D319" s="3" t="n"/>
      <c r="E319" s="3" t="n"/>
      <c r="F319" s="3" t="n"/>
      <c r="G319" s="3" t="n"/>
      <c r="H319" s="3" t="n"/>
    </row>
    <row r="320">
      <c r="A320" s="3" t="n"/>
      <c r="B320" s="3" t="n"/>
      <c r="C320" s="3" t="n"/>
      <c r="D320" s="3" t="n"/>
      <c r="E320" s="3" t="n"/>
      <c r="F320" s="3" t="n"/>
      <c r="G320" s="3" t="n"/>
      <c r="H320" s="3" t="n"/>
    </row>
    <row r="321">
      <c r="A321" s="3" t="n"/>
      <c r="B321" s="3" t="n"/>
      <c r="C321" s="3" t="n"/>
      <c r="D321" s="3" t="n"/>
      <c r="E321" s="3" t="n"/>
      <c r="F321" s="3" t="n"/>
      <c r="G321" s="3" t="n"/>
      <c r="H321" s="3" t="n"/>
    </row>
    <row r="322">
      <c r="A322" s="3" t="n"/>
      <c r="B322" s="3" t="n"/>
      <c r="C322" s="3" t="n"/>
      <c r="D322" s="3" t="n"/>
      <c r="E322" s="3" t="n"/>
      <c r="F322" s="3" t="n"/>
      <c r="G322" s="3" t="n"/>
      <c r="H322" s="3" t="n"/>
    </row>
    <row r="323">
      <c r="A323" s="3" t="n"/>
      <c r="B323" s="3" t="n"/>
      <c r="C323" s="3" t="n"/>
      <c r="D323" s="3" t="n"/>
      <c r="E323" s="3" t="n"/>
      <c r="F323" s="3" t="n"/>
      <c r="G323" s="3" t="n"/>
      <c r="H323" s="3" t="n"/>
    </row>
    <row r="324">
      <c r="A324" s="3" t="n"/>
      <c r="B324" s="3" t="n"/>
      <c r="C324" s="3" t="n"/>
      <c r="D324" s="3" t="n"/>
      <c r="E324" s="3" t="n"/>
      <c r="F324" s="3" t="n"/>
      <c r="G324" s="3" t="n"/>
      <c r="H324" s="3" t="n"/>
    </row>
    <row r="325">
      <c r="A325" s="3" t="n"/>
      <c r="B325" s="3" t="n"/>
      <c r="C325" s="3" t="n"/>
      <c r="D325" s="3" t="n"/>
      <c r="E325" s="3" t="n"/>
      <c r="F325" s="3" t="n"/>
      <c r="G325" s="3" t="n"/>
      <c r="H325" s="3" t="n"/>
    </row>
    <row r="326">
      <c r="A326" s="3" t="n"/>
      <c r="B326" s="3" t="n"/>
      <c r="C326" s="3" t="n"/>
      <c r="D326" s="3" t="n"/>
      <c r="E326" s="3" t="n"/>
      <c r="F326" s="3" t="n"/>
      <c r="G326" s="3" t="n"/>
      <c r="H326" s="3" t="n"/>
    </row>
    <row r="327">
      <c r="A327" s="3" t="n"/>
      <c r="B327" s="3" t="n"/>
      <c r="C327" s="3" t="n"/>
      <c r="D327" s="3" t="n"/>
      <c r="E327" s="3" t="n"/>
      <c r="F327" s="3" t="n"/>
      <c r="G327" s="3" t="n"/>
      <c r="H327" s="3" t="n"/>
    </row>
    <row r="328">
      <c r="A328" s="3" t="n"/>
      <c r="B328" s="3" t="n"/>
      <c r="C328" s="3" t="n"/>
      <c r="D328" s="3" t="n"/>
      <c r="E328" s="3" t="n"/>
      <c r="F328" s="3" t="n"/>
      <c r="G328" s="3" t="n"/>
      <c r="H328" s="3" t="n"/>
    </row>
    <row r="329">
      <c r="A329" s="3" t="n"/>
      <c r="B329" s="3" t="n"/>
      <c r="C329" s="3" t="n"/>
      <c r="D329" s="3" t="n"/>
      <c r="E329" s="3" t="n"/>
      <c r="F329" s="3" t="n"/>
      <c r="G329" s="3" t="n"/>
      <c r="H329" s="3" t="n"/>
    </row>
    <row r="330">
      <c r="A330" s="3" t="n"/>
      <c r="B330" s="3" t="n"/>
      <c r="C330" s="3" t="n"/>
      <c r="D330" s="3" t="n"/>
      <c r="E330" s="3" t="n"/>
      <c r="F330" s="3" t="n"/>
      <c r="G330" s="3" t="n"/>
      <c r="H330" s="3" t="n"/>
    </row>
    <row r="331">
      <c r="A331" s="3" t="n"/>
      <c r="B331" s="3" t="n"/>
      <c r="C331" s="3" t="n"/>
      <c r="D331" s="3" t="n"/>
      <c r="E331" s="3" t="n"/>
      <c r="F331" s="3" t="n"/>
      <c r="G331" s="3" t="n"/>
      <c r="H331" s="3" t="n"/>
    </row>
    <row r="332">
      <c r="A332" s="3" t="n"/>
      <c r="B332" s="3" t="n"/>
      <c r="C332" s="3" t="n"/>
      <c r="D332" s="3" t="n"/>
      <c r="E332" s="3" t="n"/>
      <c r="F332" s="3" t="n"/>
      <c r="G332" s="3" t="n"/>
      <c r="H332" s="3" t="n"/>
    </row>
    <row r="333">
      <c r="A333" s="3" t="n"/>
      <c r="B333" s="3" t="n"/>
      <c r="C333" s="3" t="n"/>
      <c r="D333" s="3" t="n"/>
      <c r="E333" s="3" t="n"/>
      <c r="F333" s="3" t="n"/>
      <c r="G333" s="3" t="n"/>
      <c r="H333" s="3" t="n"/>
    </row>
    <row r="334">
      <c r="A334" s="3" t="n"/>
      <c r="B334" s="3" t="n"/>
      <c r="C334" s="3" t="n"/>
      <c r="D334" s="3" t="n"/>
      <c r="E334" s="3" t="n"/>
      <c r="F334" s="3" t="n"/>
      <c r="G334" s="3" t="n"/>
      <c r="H334" s="3" t="n"/>
    </row>
    <row r="335">
      <c r="A335" s="3" t="n"/>
      <c r="B335" s="3" t="n"/>
      <c r="C335" s="3" t="n"/>
      <c r="D335" s="3" t="n"/>
      <c r="E335" s="3" t="n"/>
      <c r="F335" s="3" t="n"/>
      <c r="G335" s="3" t="n"/>
      <c r="H335" s="3" t="n"/>
    </row>
    <row r="336">
      <c r="A336" s="3" t="n"/>
      <c r="B336" s="3" t="n"/>
      <c r="C336" s="3" t="n"/>
      <c r="D336" s="3" t="n"/>
      <c r="E336" s="3" t="n"/>
      <c r="F336" s="3" t="n"/>
      <c r="G336" s="3" t="n"/>
      <c r="H336" s="3" t="n"/>
    </row>
    <row r="337">
      <c r="A337" s="3" t="n"/>
      <c r="B337" s="3" t="n"/>
      <c r="C337" s="3" t="n"/>
      <c r="D337" s="3" t="n"/>
      <c r="E337" s="3" t="n"/>
      <c r="F337" s="3" t="n"/>
      <c r="G337" s="3" t="n"/>
      <c r="H337" s="3" t="n"/>
    </row>
    <row r="338">
      <c r="A338" s="3" t="n"/>
      <c r="B338" s="3" t="n"/>
      <c r="C338" s="3" t="n"/>
      <c r="D338" s="3" t="n"/>
      <c r="E338" s="3" t="n"/>
      <c r="F338" s="3" t="n"/>
      <c r="G338" s="3" t="n"/>
      <c r="H338" s="3" t="n"/>
    </row>
    <row r="339">
      <c r="A339" s="3" t="n"/>
      <c r="B339" s="3" t="n"/>
      <c r="C339" s="3" t="n"/>
      <c r="D339" s="3" t="n"/>
      <c r="E339" s="3" t="n"/>
      <c r="F339" s="3" t="n"/>
      <c r="G339" s="3" t="n"/>
      <c r="H339" s="3" t="n"/>
    </row>
  </sheetData>
  <mergeCells count="31">
    <mergeCell ref="C30:G30"/>
    <mergeCell ref="B42:G42"/>
    <mergeCell ref="B14:G14"/>
    <mergeCell ref="B17:G17"/>
    <mergeCell ref="B23:G23"/>
    <mergeCell ref="C33:G33"/>
    <mergeCell ref="B8:G8"/>
    <mergeCell ref="A1:B1"/>
    <mergeCell ref="B29:G29"/>
    <mergeCell ref="B9:G9"/>
    <mergeCell ref="C31:G31"/>
    <mergeCell ref="C40:G40"/>
    <mergeCell ref="B15:G15"/>
    <mergeCell ref="B6:G6"/>
    <mergeCell ref="B24:G24"/>
    <mergeCell ref="B20:G20"/>
    <mergeCell ref="B5:G5"/>
    <mergeCell ref="B35:G35"/>
    <mergeCell ref="B4:G4"/>
    <mergeCell ref="B26:G26"/>
    <mergeCell ref="C36:G36"/>
    <mergeCell ref="C39:G39"/>
    <mergeCell ref="C32:G32"/>
    <mergeCell ref="C38:G38"/>
    <mergeCell ref="G1:H1"/>
    <mergeCell ref="B27:G27"/>
    <mergeCell ref="C37:G37"/>
    <mergeCell ref="B12:G12"/>
    <mergeCell ref="B18:G18"/>
    <mergeCell ref="B21:G21"/>
    <mergeCell ref="B11:G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F46E5"/>
    <outlinePr summaryBelow="1" summaryRight="1"/>
    <pageSetUpPr/>
  </sheetPr>
  <dimension ref="A1:I339"/>
  <sheetViews>
    <sheetView showGridLines="0" showRowColHeaders="0" tabSelected="0" zoomScale="10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1" customWidth="1" min="3" max="3"/>
    <col width="12" customWidth="1" min="4" max="4"/>
    <col width="14" customWidth="1" min="5" max="5"/>
    <col width="20" customWidth="1" min="6" max="6"/>
    <col width="18" customWidth="1" min="7" max="7"/>
    <col width="16" customWidth="1" min="8" max="8"/>
    <col hidden="1" width="14" customWidth="1" min="9" max="9"/>
  </cols>
  <sheetData>
    <row r="1" ht="40" customHeight="1">
      <c r="A1" s="1">
        <f>HYPERLINK("#'Dashboard'!A1","🏠 Home")</f>
        <v/>
      </c>
      <c r="B1" s="1">
        <f>HYPERLINK("#'Item Master'!A1","📦 Items")</f>
        <v/>
      </c>
      <c r="C1" s="1">
        <f>HYPERLINK("#'Log Sale'!A1","🛒 New Sale")</f>
        <v/>
      </c>
      <c r="E1" s="1">
        <f>HYPERLINK("#'Stock In'!A1","📥 Stock In")</f>
        <v/>
      </c>
      <c r="F1" s="1">
        <f>HYPERLINK("#'Invoice Generator'!A1","🧾 Invoice")</f>
        <v/>
      </c>
      <c r="G1" s="1">
        <f>HYPERLINK("#'Sales Log'!A1","📊 Logs")</f>
        <v/>
      </c>
      <c r="I1" s="15" t="n"/>
    </row>
    <row r="2" ht="6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0" customHeight="1">
      <c r="A4" s="16" t="inlineStr">
        <is>
          <t>LIVE OVERVIEW</t>
        </is>
      </c>
      <c r="I4" s="3" t="n"/>
    </row>
    <row r="5" ht="34" customHeight="1">
      <c r="A5" s="17" t="inlineStr">
        <is>
          <t>🏠 Dashboard</t>
        </is>
      </c>
      <c r="I5" s="3" t="n"/>
    </row>
    <row r="6" ht="20" customHeight="1">
      <c r="A6" s="18" t="inlineStr">
        <is>
          <t>Every number recalculates the moment you scan an item on the Sell screen.</t>
        </is>
      </c>
      <c r="I6" s="3" t="n"/>
    </row>
    <row r="7" ht="46" customHeight="1">
      <c r="A7" s="19">
        <f>COUNTA('Item Master'!$A$4:$A$53)</f>
        <v/>
      </c>
      <c r="B7" s="20" t="n"/>
      <c r="C7" s="19">
        <f>SUM($E$10:$E$59)</f>
        <v/>
      </c>
      <c r="D7" s="20" t="n"/>
      <c r="E7" s="21">
        <f>SUMIF('Sales Log'!$B$8:$B$107,TODAY(),'Sales Log'!$J$8:$J$107)</f>
        <v/>
      </c>
      <c r="F7" s="22" t="n"/>
      <c r="G7" s="23">
        <f>COUNTIF($F$10:$F$59,"⚠️ REORDER NOW")</f>
        <v/>
      </c>
      <c r="H7" s="24" t="n"/>
      <c r="I7" s="3" t="n"/>
    </row>
    <row r="8" ht="38" customHeight="1">
      <c r="A8" s="25">
        <f>SUM($I$10:$I$59)</f>
        <v/>
      </c>
      <c r="B8" s="8" t="n"/>
      <c r="C8" s="25">
        <f>SUM('Sales Log'!$J$8:$J$107)</f>
        <v/>
      </c>
      <c r="D8" s="8" t="n"/>
      <c r="E8" s="26">
        <f>HYPERLINK("#'Start Here'!A1","🚀  Start Here")</f>
        <v/>
      </c>
      <c r="F8" s="26">
        <f>HYPERLINK("#'Settings'!A1","⚙️  Settings")</f>
        <v/>
      </c>
      <c r="G8" s="27">
        <f>HYPERLINK("#'Log Sale'!A1","🛒  START A NEW SALE")</f>
        <v/>
      </c>
      <c r="H8" s="28" t="n"/>
      <c r="I8" s="3" t="n"/>
    </row>
    <row r="9" ht="36" customHeight="1">
      <c r="A9" s="29" t="inlineStr">
        <is>
          <t>SKU</t>
        </is>
      </c>
      <c r="B9" s="29" t="inlineStr">
        <is>
          <t>📦 Product</t>
        </is>
      </c>
      <c r="C9" s="29" t="inlineStr">
        <is>
          <t>⬇ Total IN</t>
        </is>
      </c>
      <c r="D9" s="29" t="inlineStr">
        <is>
          <t>⬆ Total OUT</t>
        </is>
      </c>
      <c r="E9" s="29" t="inlineStr">
        <is>
          <t>📊 Current Stock</t>
        </is>
      </c>
      <c r="F9" s="29" t="inlineStr">
        <is>
          <t>🚦 Stock Status</t>
        </is>
      </c>
      <c r="G9" s="29" t="inlineStr">
        <is>
          <t>💬 WhatsApp Order</t>
        </is>
      </c>
      <c r="H9" s="29" t="inlineStr">
        <is>
          <t>✉️ Email Order</t>
        </is>
      </c>
      <c r="I9" s="29" t="inlineStr">
        <is>
          <t>Value</t>
        </is>
      </c>
    </row>
    <row r="10" ht="32" customHeight="1">
      <c r="A10" s="30">
        <f>IF(INDEX('Item Master'!$A$4:$A$53,1)="","",INDEX('Item Master'!$A$4:$A$53,1))</f>
        <v/>
      </c>
      <c r="B10" s="31">
        <f>IF($A10="","",_xlfn.XLOOKUP($A10,'Item Master'!$A$4:$A$53,'Item Master'!$C$4:$C$53,""))</f>
        <v/>
      </c>
      <c r="C10" s="32">
        <f>IF($A10="","",SUMIFS('Stock In'!$F$8:$F$207,'Stock In'!$I$8:$I$207,$A10,'Stock In'!$D$8:$D$207,"IN"))</f>
        <v/>
      </c>
      <c r="D10" s="32">
        <f>IF($A10="","",SUMIF('Log Sale'!$I$9:$I$308,$A10,'Log Sale'!$K$9:$K$308)+SUMIFS('Stock In'!$F$8:$F$207,'Stock In'!$I$8:$I$207,$A10,'Stock In'!$D$8:$D$207,"SHRINKAGE"))</f>
        <v/>
      </c>
      <c r="E10" s="33">
        <f>IF($A10="","",$C10-$D10)</f>
        <v/>
      </c>
      <c r="F10" s="34">
        <f>IF($A10="","",IF($E10&lt;=_xlfn.XLOOKUP($A10,'Item Master'!$A$4:$A$53,'Item Master'!$G$4:$G$53,0)*0.1,"⚠️ REORDER NOW","✅ IN STOCK"))</f>
        <v/>
      </c>
      <c r="G10" s="35">
        <f>IF($A10="","",IF($F10="⚠️ REORDER NOW",HYPERLINK("https://wa.me/"&amp;SUBSTITUTE(SUBSTITUTE(SUBSTITUTE(SUBSTITUTE(SUBSTITUTE(SUBSTITUTE(_xlfn.XLOOKUP($A10,'Item Master'!$A$4:$A$53,'Item Master'!$J$4:$J$53,""),"+",""),"-","")," ",""),"(",""),")",""),".","")&amp;"?text="&amp;SUBSTITUTE("Hello "&amp;_xlfn.XLOOKUP($A10,'Item Master'!$A$4:$A$53,'Item Master'!$I$4:$I$53,"Supplier")&amp;", we urgently need more "&amp;$B10&amp;". Current stock is only "&amp;TEXT($E10,"0")&amp;" units. Please confirm availability and your fastest lead time. Thank you - Momentum Mind Store."," ","%20"),"💬  ORDER NOW"),""))</f>
        <v/>
      </c>
      <c r="H10" s="35">
        <f>IF($A10="","",IF($F10="⚠️ REORDER NOW",HYPERLINK("mailto:"&amp;_xlfn.XLOOKUP($A10,'Item Master'!$A$4:$A$53,'Item Master'!$K$4:$K$53,"")&amp;"?subject="&amp;SUBSTITUTE("URGENT restock request - "&amp;$B10&amp;" ("&amp;$A10&amp;")"," ","%20")&amp;"&amp;body="&amp;SUBSTITUTE(SUBSTITUTE("Hello "&amp;_xlfn.XLOOKUP($A10,'Item Master'!$A$4:$A$53,'Item Master'!$I$4:$I$53,"Supplier")&amp;"," &amp; CHAR(10) &amp; "We urgently need to restock "&amp;$B10&amp;" (SKU "&amp;$A10&amp;"). Our current stock is "&amp;TEXT($E10,"0")&amp;" units, which is below our reorder threshold." &amp; CHAR(10) &amp; "Please confirm availability, unit price and lead time by return." &amp; CHAR(10) &amp; "Kind regards," &amp; CHAR(10) &amp; Settings!$C$8," ","%20"),CHAR(10),"%0D%0A"),"✉️  EMAIL"),""))</f>
        <v/>
      </c>
      <c r="I10" s="36">
        <f>IF($A10="","",$E10*_xlfn.XLOOKUP($A10,'Item Master'!$A$4:$A$53,'Item Master'!$E$4:$E$53,0))</f>
        <v/>
      </c>
    </row>
    <row r="11" ht="32" customHeight="1">
      <c r="A11" s="30">
        <f>IF(INDEX('Item Master'!$A$4:$A$53,2)="","",INDEX('Item Master'!$A$4:$A$53,2))</f>
        <v/>
      </c>
      <c r="B11" s="31">
        <f>IF($A11="","",_xlfn.XLOOKUP($A11,'Item Master'!$A$4:$A$53,'Item Master'!$C$4:$C$53,""))</f>
        <v/>
      </c>
      <c r="C11" s="32">
        <f>IF($A11="","",SUMIFS('Stock In'!$F$8:$F$207,'Stock In'!$I$8:$I$207,$A11,'Stock In'!$D$8:$D$207,"IN"))</f>
        <v/>
      </c>
      <c r="D11" s="32">
        <f>IF($A11="","",SUMIF('Log Sale'!$I$9:$I$308,$A11,'Log Sale'!$K$9:$K$308)+SUMIFS('Stock In'!$F$8:$F$207,'Stock In'!$I$8:$I$207,$A11,'Stock In'!$D$8:$D$207,"SHRINKAGE"))</f>
        <v/>
      </c>
      <c r="E11" s="33">
        <f>IF($A11="","",$C11-$D11)</f>
        <v/>
      </c>
      <c r="F11" s="34">
        <f>IF($A11="","",IF($E11&lt;=_xlfn.XLOOKUP($A11,'Item Master'!$A$4:$A$53,'Item Master'!$G$4:$G$53,0)*0.1,"⚠️ REORDER NOW","✅ IN STOCK"))</f>
        <v/>
      </c>
      <c r="G11" s="35">
        <f>IF($A11="","",IF($F11="⚠️ REORDER NOW",HYPERLINK("https://wa.me/"&amp;SUBSTITUTE(SUBSTITUTE(SUBSTITUTE(SUBSTITUTE(SUBSTITUTE(SUBSTITUTE(_xlfn.XLOOKUP($A11,'Item Master'!$A$4:$A$53,'Item Master'!$J$4:$J$53,""),"+",""),"-","")," ",""),"(",""),")",""),".","")&amp;"?text="&amp;SUBSTITUTE("Hello "&amp;_xlfn.XLOOKUP($A11,'Item Master'!$A$4:$A$53,'Item Master'!$I$4:$I$53,"Supplier")&amp;", we urgently need more "&amp;$B11&amp;". Current stock is only "&amp;TEXT($E11,"0")&amp;" units. Please confirm availability and your fastest lead time. Thank you - Momentum Mind Store."," ","%20"),"💬  ORDER NOW"),""))</f>
        <v/>
      </c>
      <c r="H11" s="35">
        <f>IF($A11="","",IF($F11="⚠️ REORDER NOW",HYPERLINK("mailto:"&amp;_xlfn.XLOOKUP($A11,'Item Master'!$A$4:$A$53,'Item Master'!$K$4:$K$53,"")&amp;"?subject="&amp;SUBSTITUTE("URGENT restock request - "&amp;$B11&amp;" ("&amp;$A11&amp;")"," ","%20")&amp;"&amp;body="&amp;SUBSTITUTE(SUBSTITUTE("Hello "&amp;_xlfn.XLOOKUP($A11,'Item Master'!$A$4:$A$53,'Item Master'!$I$4:$I$53,"Supplier")&amp;"," &amp; CHAR(10) &amp; "We urgently need to restock "&amp;$B11&amp;" (SKU "&amp;$A11&amp;"). Our current stock is "&amp;TEXT($E11,"0")&amp;" units, which is below our reorder threshold." &amp; CHAR(10) &amp; "Please confirm availability, unit price and lead time by return." &amp; CHAR(10) &amp; "Kind regards," &amp; CHAR(10) &amp; Settings!$C$8," ","%20"),CHAR(10),"%0D%0A"),"✉️  EMAIL"),""))</f>
        <v/>
      </c>
      <c r="I11" s="36">
        <f>IF($A11="","",$E11*_xlfn.XLOOKUP($A11,'Item Master'!$A$4:$A$53,'Item Master'!$E$4:$E$53,0))</f>
        <v/>
      </c>
    </row>
    <row r="12" ht="32" customHeight="1">
      <c r="A12" s="30">
        <f>IF(INDEX('Item Master'!$A$4:$A$53,3)="","",INDEX('Item Master'!$A$4:$A$53,3))</f>
        <v/>
      </c>
      <c r="B12" s="31">
        <f>IF($A12="","",_xlfn.XLOOKUP($A12,'Item Master'!$A$4:$A$53,'Item Master'!$C$4:$C$53,""))</f>
        <v/>
      </c>
      <c r="C12" s="32">
        <f>IF($A12="","",SUMIFS('Stock In'!$F$8:$F$207,'Stock In'!$I$8:$I$207,$A12,'Stock In'!$D$8:$D$207,"IN"))</f>
        <v/>
      </c>
      <c r="D12" s="32">
        <f>IF($A12="","",SUMIF('Log Sale'!$I$9:$I$308,$A12,'Log Sale'!$K$9:$K$308)+SUMIFS('Stock In'!$F$8:$F$207,'Stock In'!$I$8:$I$207,$A12,'Stock In'!$D$8:$D$207,"SHRINKAGE"))</f>
        <v/>
      </c>
      <c r="E12" s="33">
        <f>IF($A12="","",$C12-$D12)</f>
        <v/>
      </c>
      <c r="F12" s="34">
        <f>IF($A12="","",IF($E12&lt;=_xlfn.XLOOKUP($A12,'Item Master'!$A$4:$A$53,'Item Master'!$G$4:$G$53,0)*0.1,"⚠️ REORDER NOW","✅ IN STOCK"))</f>
        <v/>
      </c>
      <c r="G12" s="35">
        <f>IF($A12="","",IF($F12="⚠️ REORDER NOW",HYPERLINK("https://wa.me/"&amp;SUBSTITUTE(SUBSTITUTE(SUBSTITUTE(SUBSTITUTE(SUBSTITUTE(SUBSTITUTE(_xlfn.XLOOKUP($A12,'Item Master'!$A$4:$A$53,'Item Master'!$J$4:$J$53,""),"+",""),"-","")," ",""),"(",""),")",""),".","")&amp;"?text="&amp;SUBSTITUTE("Hello "&amp;_xlfn.XLOOKUP($A12,'Item Master'!$A$4:$A$53,'Item Master'!$I$4:$I$53,"Supplier")&amp;", we urgently need more "&amp;$B12&amp;". Current stock is only "&amp;TEXT($E12,"0")&amp;" units. Please confirm availability and your fastest lead time. Thank you - Momentum Mind Store."," ","%20"),"💬  ORDER NOW"),""))</f>
        <v/>
      </c>
      <c r="H12" s="35">
        <f>IF($A12="","",IF($F12="⚠️ REORDER NOW",HYPERLINK("mailto:"&amp;_xlfn.XLOOKUP($A12,'Item Master'!$A$4:$A$53,'Item Master'!$K$4:$K$53,"")&amp;"?subject="&amp;SUBSTITUTE("URGENT restock request - "&amp;$B12&amp;" ("&amp;$A12&amp;")"," ","%20")&amp;"&amp;body="&amp;SUBSTITUTE(SUBSTITUTE("Hello "&amp;_xlfn.XLOOKUP($A12,'Item Master'!$A$4:$A$53,'Item Master'!$I$4:$I$53,"Supplier")&amp;"," &amp; CHAR(10) &amp; "We urgently need to restock "&amp;$B12&amp;" (SKU "&amp;$A12&amp;"). Our current stock is "&amp;TEXT($E12,"0")&amp;" units, which is below our reorder threshold." &amp; CHAR(10) &amp; "Please confirm availability, unit price and lead time by return." &amp; CHAR(10) &amp; "Kind regards," &amp; CHAR(10) &amp; Settings!$C$8," ","%20"),CHAR(10),"%0D%0A"),"✉️  EMAIL"),""))</f>
        <v/>
      </c>
      <c r="I12" s="36">
        <f>IF($A12="","",$E12*_xlfn.XLOOKUP($A12,'Item Master'!$A$4:$A$53,'Item Master'!$E$4:$E$53,0))</f>
        <v/>
      </c>
    </row>
    <row r="13" ht="32" customHeight="1">
      <c r="A13" s="30">
        <f>IF(INDEX('Item Master'!$A$4:$A$53,4)="","",INDEX('Item Master'!$A$4:$A$53,4))</f>
        <v/>
      </c>
      <c r="B13" s="31">
        <f>IF($A13="","",_xlfn.XLOOKUP($A13,'Item Master'!$A$4:$A$53,'Item Master'!$C$4:$C$53,""))</f>
        <v/>
      </c>
      <c r="C13" s="32">
        <f>IF($A13="","",SUMIFS('Stock In'!$F$8:$F$207,'Stock In'!$I$8:$I$207,$A13,'Stock In'!$D$8:$D$207,"IN"))</f>
        <v/>
      </c>
      <c r="D13" s="32">
        <f>IF($A13="","",SUMIF('Log Sale'!$I$9:$I$308,$A13,'Log Sale'!$K$9:$K$308)+SUMIFS('Stock In'!$F$8:$F$207,'Stock In'!$I$8:$I$207,$A13,'Stock In'!$D$8:$D$207,"SHRINKAGE"))</f>
        <v/>
      </c>
      <c r="E13" s="33">
        <f>IF($A13="","",$C13-$D13)</f>
        <v/>
      </c>
      <c r="F13" s="34">
        <f>IF($A13="","",IF($E13&lt;=_xlfn.XLOOKUP($A13,'Item Master'!$A$4:$A$53,'Item Master'!$G$4:$G$53,0)*0.1,"⚠️ REORDER NOW","✅ IN STOCK"))</f>
        <v/>
      </c>
      <c r="G13" s="35">
        <f>IF($A13="","",IF($F13="⚠️ REORDER NOW",HYPERLINK("https://wa.me/"&amp;SUBSTITUTE(SUBSTITUTE(SUBSTITUTE(SUBSTITUTE(SUBSTITUTE(SUBSTITUTE(_xlfn.XLOOKUP($A13,'Item Master'!$A$4:$A$53,'Item Master'!$J$4:$J$53,""),"+",""),"-","")," ",""),"(",""),")",""),".","")&amp;"?text="&amp;SUBSTITUTE("Hello "&amp;_xlfn.XLOOKUP($A13,'Item Master'!$A$4:$A$53,'Item Master'!$I$4:$I$53,"Supplier")&amp;", we urgently need more "&amp;$B13&amp;". Current stock is only "&amp;TEXT($E13,"0")&amp;" units. Please confirm availability and your fastest lead time. Thank you - Momentum Mind Store."," ","%20"),"💬  ORDER NOW"),""))</f>
        <v/>
      </c>
      <c r="H13" s="35">
        <f>IF($A13="","",IF($F13="⚠️ REORDER NOW",HYPERLINK("mailto:"&amp;_xlfn.XLOOKUP($A13,'Item Master'!$A$4:$A$53,'Item Master'!$K$4:$K$53,"")&amp;"?subject="&amp;SUBSTITUTE("URGENT restock request - "&amp;$B13&amp;" ("&amp;$A13&amp;")"," ","%20")&amp;"&amp;body="&amp;SUBSTITUTE(SUBSTITUTE("Hello "&amp;_xlfn.XLOOKUP($A13,'Item Master'!$A$4:$A$53,'Item Master'!$I$4:$I$53,"Supplier")&amp;"," &amp; CHAR(10) &amp; "We urgently need to restock "&amp;$B13&amp;" (SKU "&amp;$A13&amp;"). Our current stock is "&amp;TEXT($E13,"0")&amp;" units, which is below our reorder threshold." &amp; CHAR(10) &amp; "Please confirm availability, unit price and lead time by return." &amp; CHAR(10) &amp; "Kind regards," &amp; CHAR(10) &amp; Settings!$C$8," ","%20"),CHAR(10),"%0D%0A"),"✉️  EMAIL"),""))</f>
        <v/>
      </c>
      <c r="I13" s="36">
        <f>IF($A13="","",$E13*_xlfn.XLOOKUP($A13,'Item Master'!$A$4:$A$53,'Item Master'!$E$4:$E$53,0))</f>
        <v/>
      </c>
    </row>
    <row r="14" ht="32" customHeight="1">
      <c r="A14" s="30">
        <f>IF(INDEX('Item Master'!$A$4:$A$53,5)="","",INDEX('Item Master'!$A$4:$A$53,5))</f>
        <v/>
      </c>
      <c r="B14" s="31">
        <f>IF($A14="","",_xlfn.XLOOKUP($A14,'Item Master'!$A$4:$A$53,'Item Master'!$C$4:$C$53,""))</f>
        <v/>
      </c>
      <c r="C14" s="32">
        <f>IF($A14="","",SUMIFS('Stock In'!$F$8:$F$207,'Stock In'!$I$8:$I$207,$A14,'Stock In'!$D$8:$D$207,"IN"))</f>
        <v/>
      </c>
      <c r="D14" s="32">
        <f>IF($A14="","",SUMIF('Log Sale'!$I$9:$I$308,$A14,'Log Sale'!$K$9:$K$308)+SUMIFS('Stock In'!$F$8:$F$207,'Stock In'!$I$8:$I$207,$A14,'Stock In'!$D$8:$D$207,"SHRINKAGE"))</f>
        <v/>
      </c>
      <c r="E14" s="33">
        <f>IF($A14="","",$C14-$D14)</f>
        <v/>
      </c>
      <c r="F14" s="34">
        <f>IF($A14="","",IF($E14&lt;=_xlfn.XLOOKUP($A14,'Item Master'!$A$4:$A$53,'Item Master'!$G$4:$G$53,0)*0.1,"⚠️ REORDER NOW","✅ IN STOCK"))</f>
        <v/>
      </c>
      <c r="G14" s="35">
        <f>IF($A14="","",IF($F14="⚠️ REORDER NOW",HYPERLINK("https://wa.me/"&amp;SUBSTITUTE(SUBSTITUTE(SUBSTITUTE(SUBSTITUTE(SUBSTITUTE(SUBSTITUTE(_xlfn.XLOOKUP($A14,'Item Master'!$A$4:$A$53,'Item Master'!$J$4:$J$53,""),"+",""),"-","")," ",""),"(",""),")",""),".","")&amp;"?text="&amp;SUBSTITUTE("Hello "&amp;_xlfn.XLOOKUP($A14,'Item Master'!$A$4:$A$53,'Item Master'!$I$4:$I$53,"Supplier")&amp;", we urgently need more "&amp;$B14&amp;". Current stock is only "&amp;TEXT($E14,"0")&amp;" units. Please confirm availability and your fastest lead time. Thank you - Momentum Mind Store."," ","%20"),"💬  ORDER NOW"),""))</f>
        <v/>
      </c>
      <c r="H14" s="35">
        <f>IF($A14="","",IF($F14="⚠️ REORDER NOW",HYPERLINK("mailto:"&amp;_xlfn.XLOOKUP($A14,'Item Master'!$A$4:$A$53,'Item Master'!$K$4:$K$53,"")&amp;"?subject="&amp;SUBSTITUTE("URGENT restock request - "&amp;$B14&amp;" ("&amp;$A14&amp;")"," ","%20")&amp;"&amp;body="&amp;SUBSTITUTE(SUBSTITUTE("Hello "&amp;_xlfn.XLOOKUP($A14,'Item Master'!$A$4:$A$53,'Item Master'!$I$4:$I$53,"Supplier")&amp;"," &amp; CHAR(10) &amp; "We urgently need to restock "&amp;$B14&amp;" (SKU "&amp;$A14&amp;"). Our current stock is "&amp;TEXT($E14,"0")&amp;" units, which is below our reorder threshold." &amp; CHAR(10) &amp; "Please confirm availability, unit price and lead time by return." &amp; CHAR(10) &amp; "Kind regards," &amp; CHAR(10) &amp; Settings!$C$8," ","%20"),CHAR(10),"%0D%0A"),"✉️  EMAIL"),""))</f>
        <v/>
      </c>
      <c r="I14" s="36">
        <f>IF($A14="","",$E14*_xlfn.XLOOKUP($A14,'Item Master'!$A$4:$A$53,'Item Master'!$E$4:$E$53,0))</f>
        <v/>
      </c>
    </row>
    <row r="15" ht="32" customHeight="1">
      <c r="A15" s="30">
        <f>IF(INDEX('Item Master'!$A$4:$A$53,6)="","",INDEX('Item Master'!$A$4:$A$53,6))</f>
        <v/>
      </c>
      <c r="B15" s="31">
        <f>IF($A15="","",_xlfn.XLOOKUP($A15,'Item Master'!$A$4:$A$53,'Item Master'!$C$4:$C$53,""))</f>
        <v/>
      </c>
      <c r="C15" s="32">
        <f>IF($A15="","",SUMIFS('Stock In'!$F$8:$F$207,'Stock In'!$I$8:$I$207,$A15,'Stock In'!$D$8:$D$207,"IN"))</f>
        <v/>
      </c>
      <c r="D15" s="32">
        <f>IF($A15="","",SUMIF('Log Sale'!$I$9:$I$308,$A15,'Log Sale'!$K$9:$K$308)+SUMIFS('Stock In'!$F$8:$F$207,'Stock In'!$I$8:$I$207,$A15,'Stock In'!$D$8:$D$207,"SHRINKAGE"))</f>
        <v/>
      </c>
      <c r="E15" s="33">
        <f>IF($A15="","",$C15-$D15)</f>
        <v/>
      </c>
      <c r="F15" s="34">
        <f>IF($A15="","",IF($E15&lt;=_xlfn.XLOOKUP($A15,'Item Master'!$A$4:$A$53,'Item Master'!$G$4:$G$53,0)*0.1,"⚠️ REORDER NOW","✅ IN STOCK"))</f>
        <v/>
      </c>
      <c r="G15" s="35">
        <f>IF($A15="","",IF($F15="⚠️ REORDER NOW",HYPERLINK("https://wa.me/"&amp;SUBSTITUTE(SUBSTITUTE(SUBSTITUTE(SUBSTITUTE(SUBSTITUTE(SUBSTITUTE(_xlfn.XLOOKUP($A15,'Item Master'!$A$4:$A$53,'Item Master'!$J$4:$J$53,""),"+",""),"-","")," ",""),"(",""),")",""),".","")&amp;"?text="&amp;SUBSTITUTE("Hello "&amp;_xlfn.XLOOKUP($A15,'Item Master'!$A$4:$A$53,'Item Master'!$I$4:$I$53,"Supplier")&amp;", we urgently need more "&amp;$B15&amp;". Current stock is only "&amp;TEXT($E15,"0")&amp;" units. Please confirm availability and your fastest lead time. Thank you - Momentum Mind Store."," ","%20"),"💬  ORDER NOW"),""))</f>
        <v/>
      </c>
      <c r="H15" s="35">
        <f>IF($A15="","",IF($F15="⚠️ REORDER NOW",HYPERLINK("mailto:"&amp;_xlfn.XLOOKUP($A15,'Item Master'!$A$4:$A$53,'Item Master'!$K$4:$K$53,"")&amp;"?subject="&amp;SUBSTITUTE("URGENT restock request - "&amp;$B15&amp;" ("&amp;$A15&amp;")"," ","%20")&amp;"&amp;body="&amp;SUBSTITUTE(SUBSTITUTE("Hello "&amp;_xlfn.XLOOKUP($A15,'Item Master'!$A$4:$A$53,'Item Master'!$I$4:$I$53,"Supplier")&amp;"," &amp; CHAR(10) &amp; "We urgently need to restock "&amp;$B15&amp;" (SKU "&amp;$A15&amp;"). Our current stock is "&amp;TEXT($E15,"0")&amp;" units, which is below our reorder threshold." &amp; CHAR(10) &amp; "Please confirm availability, unit price and lead time by return." &amp; CHAR(10) &amp; "Kind regards," &amp; CHAR(10) &amp; Settings!$C$8," ","%20"),CHAR(10),"%0D%0A"),"✉️  EMAIL"),""))</f>
        <v/>
      </c>
      <c r="I15" s="36">
        <f>IF($A15="","",$E15*_xlfn.XLOOKUP($A15,'Item Master'!$A$4:$A$53,'Item Master'!$E$4:$E$53,0))</f>
        <v/>
      </c>
    </row>
    <row r="16" ht="32" customHeight="1">
      <c r="A16" s="30">
        <f>IF(INDEX('Item Master'!$A$4:$A$53,7)="","",INDEX('Item Master'!$A$4:$A$53,7))</f>
        <v/>
      </c>
      <c r="B16" s="31">
        <f>IF($A16="","",_xlfn.XLOOKUP($A16,'Item Master'!$A$4:$A$53,'Item Master'!$C$4:$C$53,""))</f>
        <v/>
      </c>
      <c r="C16" s="32">
        <f>IF($A16="","",SUMIFS('Stock In'!$F$8:$F$207,'Stock In'!$I$8:$I$207,$A16,'Stock In'!$D$8:$D$207,"IN"))</f>
        <v/>
      </c>
      <c r="D16" s="32">
        <f>IF($A16="","",SUMIF('Log Sale'!$I$9:$I$308,$A16,'Log Sale'!$K$9:$K$308)+SUMIFS('Stock In'!$F$8:$F$207,'Stock In'!$I$8:$I$207,$A16,'Stock In'!$D$8:$D$207,"SHRINKAGE"))</f>
        <v/>
      </c>
      <c r="E16" s="33">
        <f>IF($A16="","",$C16-$D16)</f>
        <v/>
      </c>
      <c r="F16" s="34">
        <f>IF($A16="","",IF($E16&lt;=_xlfn.XLOOKUP($A16,'Item Master'!$A$4:$A$53,'Item Master'!$G$4:$G$53,0)*0.1,"⚠️ REORDER NOW","✅ IN STOCK"))</f>
        <v/>
      </c>
      <c r="G16" s="35">
        <f>IF($A16="","",IF($F16="⚠️ REORDER NOW",HYPERLINK("https://wa.me/"&amp;SUBSTITUTE(SUBSTITUTE(SUBSTITUTE(SUBSTITUTE(SUBSTITUTE(SUBSTITUTE(_xlfn.XLOOKUP($A16,'Item Master'!$A$4:$A$53,'Item Master'!$J$4:$J$53,""),"+",""),"-","")," ",""),"(",""),")",""),".","")&amp;"?text="&amp;SUBSTITUTE("Hello "&amp;_xlfn.XLOOKUP($A16,'Item Master'!$A$4:$A$53,'Item Master'!$I$4:$I$53,"Supplier")&amp;", we urgently need more "&amp;$B16&amp;". Current stock is only "&amp;TEXT($E16,"0")&amp;" units. Please confirm availability and your fastest lead time. Thank you - Momentum Mind Store."," ","%20"),"💬  ORDER NOW"),""))</f>
        <v/>
      </c>
      <c r="H16" s="35">
        <f>IF($A16="","",IF($F16="⚠️ REORDER NOW",HYPERLINK("mailto:"&amp;_xlfn.XLOOKUP($A16,'Item Master'!$A$4:$A$53,'Item Master'!$K$4:$K$53,"")&amp;"?subject="&amp;SUBSTITUTE("URGENT restock request - "&amp;$B16&amp;" ("&amp;$A16&amp;")"," ","%20")&amp;"&amp;body="&amp;SUBSTITUTE(SUBSTITUTE("Hello "&amp;_xlfn.XLOOKUP($A16,'Item Master'!$A$4:$A$53,'Item Master'!$I$4:$I$53,"Supplier")&amp;"," &amp; CHAR(10) &amp; "We urgently need to restock "&amp;$B16&amp;" (SKU "&amp;$A16&amp;"). Our current stock is "&amp;TEXT($E16,"0")&amp;" units, which is below our reorder threshold." &amp; CHAR(10) &amp; "Please confirm availability, unit price and lead time by return." &amp; CHAR(10) &amp; "Kind regards," &amp; CHAR(10) &amp; Settings!$C$8," ","%20"),CHAR(10),"%0D%0A"),"✉️  EMAIL"),""))</f>
        <v/>
      </c>
      <c r="I16" s="36">
        <f>IF($A16="","",$E16*_xlfn.XLOOKUP($A16,'Item Master'!$A$4:$A$53,'Item Master'!$E$4:$E$53,0))</f>
        <v/>
      </c>
    </row>
    <row r="17" ht="32" customHeight="1">
      <c r="A17" s="30">
        <f>IF(INDEX('Item Master'!$A$4:$A$53,8)="","",INDEX('Item Master'!$A$4:$A$53,8))</f>
        <v/>
      </c>
      <c r="B17" s="31">
        <f>IF($A17="","",_xlfn.XLOOKUP($A17,'Item Master'!$A$4:$A$53,'Item Master'!$C$4:$C$53,""))</f>
        <v/>
      </c>
      <c r="C17" s="32">
        <f>IF($A17="","",SUMIFS('Stock In'!$F$8:$F$207,'Stock In'!$I$8:$I$207,$A17,'Stock In'!$D$8:$D$207,"IN"))</f>
        <v/>
      </c>
      <c r="D17" s="32">
        <f>IF($A17="","",SUMIF('Log Sale'!$I$9:$I$308,$A17,'Log Sale'!$K$9:$K$308)+SUMIFS('Stock In'!$F$8:$F$207,'Stock In'!$I$8:$I$207,$A17,'Stock In'!$D$8:$D$207,"SHRINKAGE"))</f>
        <v/>
      </c>
      <c r="E17" s="33">
        <f>IF($A17="","",$C17-$D17)</f>
        <v/>
      </c>
      <c r="F17" s="34">
        <f>IF($A17="","",IF($E17&lt;=_xlfn.XLOOKUP($A17,'Item Master'!$A$4:$A$53,'Item Master'!$G$4:$G$53,0)*0.1,"⚠️ REORDER NOW","✅ IN STOCK"))</f>
        <v/>
      </c>
      <c r="G17" s="35">
        <f>IF($A17="","",IF($F17="⚠️ REORDER NOW",HYPERLINK("https://wa.me/"&amp;SUBSTITUTE(SUBSTITUTE(SUBSTITUTE(SUBSTITUTE(SUBSTITUTE(SUBSTITUTE(_xlfn.XLOOKUP($A17,'Item Master'!$A$4:$A$53,'Item Master'!$J$4:$J$53,""),"+",""),"-","")," ",""),"(",""),")",""),".","")&amp;"?text="&amp;SUBSTITUTE("Hello "&amp;_xlfn.XLOOKUP($A17,'Item Master'!$A$4:$A$53,'Item Master'!$I$4:$I$53,"Supplier")&amp;", we urgently need more "&amp;$B17&amp;". Current stock is only "&amp;TEXT($E17,"0")&amp;" units. Please confirm availability and your fastest lead time. Thank you - Momentum Mind Store."," ","%20"),"💬  ORDER NOW"),""))</f>
        <v/>
      </c>
      <c r="H17" s="35">
        <f>IF($A17="","",IF($F17="⚠️ REORDER NOW",HYPERLINK("mailto:"&amp;_xlfn.XLOOKUP($A17,'Item Master'!$A$4:$A$53,'Item Master'!$K$4:$K$53,"")&amp;"?subject="&amp;SUBSTITUTE("URGENT restock request - "&amp;$B17&amp;" ("&amp;$A17&amp;")"," ","%20")&amp;"&amp;body="&amp;SUBSTITUTE(SUBSTITUTE("Hello "&amp;_xlfn.XLOOKUP($A17,'Item Master'!$A$4:$A$53,'Item Master'!$I$4:$I$53,"Supplier")&amp;"," &amp; CHAR(10) &amp; "We urgently need to restock "&amp;$B17&amp;" (SKU "&amp;$A17&amp;"). Our current stock is "&amp;TEXT($E17,"0")&amp;" units, which is below our reorder threshold." &amp; CHAR(10) &amp; "Please confirm availability, unit price and lead time by return." &amp; CHAR(10) &amp; "Kind regards," &amp; CHAR(10) &amp; Settings!$C$8," ","%20"),CHAR(10),"%0D%0A"),"✉️  EMAIL"),""))</f>
        <v/>
      </c>
      <c r="I17" s="36">
        <f>IF($A17="","",$E17*_xlfn.XLOOKUP($A17,'Item Master'!$A$4:$A$53,'Item Master'!$E$4:$E$53,0))</f>
        <v/>
      </c>
    </row>
    <row r="18" ht="32" customHeight="1">
      <c r="A18" s="30">
        <f>IF(INDEX('Item Master'!$A$4:$A$53,9)="","",INDEX('Item Master'!$A$4:$A$53,9))</f>
        <v/>
      </c>
      <c r="B18" s="31">
        <f>IF($A18="","",_xlfn.XLOOKUP($A18,'Item Master'!$A$4:$A$53,'Item Master'!$C$4:$C$53,""))</f>
        <v/>
      </c>
      <c r="C18" s="32">
        <f>IF($A18="","",SUMIFS('Stock In'!$F$8:$F$207,'Stock In'!$I$8:$I$207,$A18,'Stock In'!$D$8:$D$207,"IN"))</f>
        <v/>
      </c>
      <c r="D18" s="32">
        <f>IF($A18="","",SUMIF('Log Sale'!$I$9:$I$308,$A18,'Log Sale'!$K$9:$K$308)+SUMIFS('Stock In'!$F$8:$F$207,'Stock In'!$I$8:$I$207,$A18,'Stock In'!$D$8:$D$207,"SHRINKAGE"))</f>
        <v/>
      </c>
      <c r="E18" s="33">
        <f>IF($A18="","",$C18-$D18)</f>
        <v/>
      </c>
      <c r="F18" s="34">
        <f>IF($A18="","",IF($E18&lt;=_xlfn.XLOOKUP($A18,'Item Master'!$A$4:$A$53,'Item Master'!$G$4:$G$53,0)*0.1,"⚠️ REORDER NOW","✅ IN STOCK"))</f>
        <v/>
      </c>
      <c r="G18" s="35">
        <f>IF($A18="","",IF($F18="⚠️ REORDER NOW",HYPERLINK("https://wa.me/"&amp;SUBSTITUTE(SUBSTITUTE(SUBSTITUTE(SUBSTITUTE(SUBSTITUTE(SUBSTITUTE(_xlfn.XLOOKUP($A18,'Item Master'!$A$4:$A$53,'Item Master'!$J$4:$J$53,""),"+",""),"-","")," ",""),"(",""),")",""),".","")&amp;"?text="&amp;SUBSTITUTE("Hello "&amp;_xlfn.XLOOKUP($A18,'Item Master'!$A$4:$A$53,'Item Master'!$I$4:$I$53,"Supplier")&amp;", we urgently need more "&amp;$B18&amp;". Current stock is only "&amp;TEXT($E18,"0")&amp;" units. Please confirm availability and your fastest lead time. Thank you - Momentum Mind Store."," ","%20"),"💬  ORDER NOW"),""))</f>
        <v/>
      </c>
      <c r="H18" s="35">
        <f>IF($A18="","",IF($F18="⚠️ REORDER NOW",HYPERLINK("mailto:"&amp;_xlfn.XLOOKUP($A18,'Item Master'!$A$4:$A$53,'Item Master'!$K$4:$K$53,"")&amp;"?subject="&amp;SUBSTITUTE("URGENT restock request - "&amp;$B18&amp;" ("&amp;$A18&amp;")"," ","%20")&amp;"&amp;body="&amp;SUBSTITUTE(SUBSTITUTE("Hello "&amp;_xlfn.XLOOKUP($A18,'Item Master'!$A$4:$A$53,'Item Master'!$I$4:$I$53,"Supplier")&amp;"," &amp; CHAR(10) &amp; "We urgently need to restock "&amp;$B18&amp;" (SKU "&amp;$A18&amp;"). Our current stock is "&amp;TEXT($E18,"0")&amp;" units, which is below our reorder threshold." &amp; CHAR(10) &amp; "Please confirm availability, unit price and lead time by return." &amp; CHAR(10) &amp; "Kind regards," &amp; CHAR(10) &amp; Settings!$C$8," ","%20"),CHAR(10),"%0D%0A"),"✉️  EMAIL"),""))</f>
        <v/>
      </c>
      <c r="I18" s="36">
        <f>IF($A18="","",$E18*_xlfn.XLOOKUP($A18,'Item Master'!$A$4:$A$53,'Item Master'!$E$4:$E$53,0))</f>
        <v/>
      </c>
    </row>
    <row r="19" ht="32" customHeight="1">
      <c r="A19" s="30">
        <f>IF(INDEX('Item Master'!$A$4:$A$53,10)="","",INDEX('Item Master'!$A$4:$A$53,10))</f>
        <v/>
      </c>
      <c r="B19" s="31">
        <f>IF($A19="","",_xlfn.XLOOKUP($A19,'Item Master'!$A$4:$A$53,'Item Master'!$C$4:$C$53,""))</f>
        <v/>
      </c>
      <c r="C19" s="32">
        <f>IF($A19="","",SUMIFS('Stock In'!$F$8:$F$207,'Stock In'!$I$8:$I$207,$A19,'Stock In'!$D$8:$D$207,"IN"))</f>
        <v/>
      </c>
      <c r="D19" s="32">
        <f>IF($A19="","",SUMIF('Log Sale'!$I$9:$I$308,$A19,'Log Sale'!$K$9:$K$308)+SUMIFS('Stock In'!$F$8:$F$207,'Stock In'!$I$8:$I$207,$A19,'Stock In'!$D$8:$D$207,"SHRINKAGE"))</f>
        <v/>
      </c>
      <c r="E19" s="33">
        <f>IF($A19="","",$C19-$D19)</f>
        <v/>
      </c>
      <c r="F19" s="34">
        <f>IF($A19="","",IF($E19&lt;=_xlfn.XLOOKUP($A19,'Item Master'!$A$4:$A$53,'Item Master'!$G$4:$G$53,0)*0.1,"⚠️ REORDER NOW","✅ IN STOCK"))</f>
        <v/>
      </c>
      <c r="G19" s="35">
        <f>IF($A19="","",IF($F19="⚠️ REORDER NOW",HYPERLINK("https://wa.me/"&amp;SUBSTITUTE(SUBSTITUTE(SUBSTITUTE(SUBSTITUTE(SUBSTITUTE(SUBSTITUTE(_xlfn.XLOOKUP($A19,'Item Master'!$A$4:$A$53,'Item Master'!$J$4:$J$53,""),"+",""),"-","")," ",""),"(",""),")",""),".","")&amp;"?text="&amp;SUBSTITUTE("Hello "&amp;_xlfn.XLOOKUP($A19,'Item Master'!$A$4:$A$53,'Item Master'!$I$4:$I$53,"Supplier")&amp;", we urgently need more "&amp;$B19&amp;". Current stock is only "&amp;TEXT($E19,"0")&amp;" units. Please confirm availability and your fastest lead time. Thank you - Momentum Mind Store."," ","%20"),"💬  ORDER NOW"),""))</f>
        <v/>
      </c>
      <c r="H19" s="35">
        <f>IF($A19="","",IF($F19="⚠️ REORDER NOW",HYPERLINK("mailto:"&amp;_xlfn.XLOOKUP($A19,'Item Master'!$A$4:$A$53,'Item Master'!$K$4:$K$53,"")&amp;"?subject="&amp;SUBSTITUTE("URGENT restock request - "&amp;$B19&amp;" ("&amp;$A19&amp;")"," ","%20")&amp;"&amp;body="&amp;SUBSTITUTE(SUBSTITUTE("Hello "&amp;_xlfn.XLOOKUP($A19,'Item Master'!$A$4:$A$53,'Item Master'!$I$4:$I$53,"Supplier")&amp;"," &amp; CHAR(10) &amp; "We urgently need to restock "&amp;$B19&amp;" (SKU "&amp;$A19&amp;"). Our current stock is "&amp;TEXT($E19,"0")&amp;" units, which is below our reorder threshold." &amp; CHAR(10) &amp; "Please confirm availability, unit price and lead time by return." &amp; CHAR(10) &amp; "Kind regards," &amp; CHAR(10) &amp; Settings!$C$8," ","%20"),CHAR(10),"%0D%0A"),"✉️  EMAIL"),""))</f>
        <v/>
      </c>
      <c r="I19" s="36">
        <f>IF($A19="","",$E19*_xlfn.XLOOKUP($A19,'Item Master'!$A$4:$A$53,'Item Master'!$E$4:$E$53,0))</f>
        <v/>
      </c>
    </row>
    <row r="20" ht="32" customHeight="1">
      <c r="A20" s="30">
        <f>IF(INDEX('Item Master'!$A$4:$A$53,11)="","",INDEX('Item Master'!$A$4:$A$53,11))</f>
        <v/>
      </c>
      <c r="B20" s="31">
        <f>IF($A20="","",_xlfn.XLOOKUP($A20,'Item Master'!$A$4:$A$53,'Item Master'!$C$4:$C$53,""))</f>
        <v/>
      </c>
      <c r="C20" s="32">
        <f>IF($A20="","",SUMIFS('Stock In'!$F$8:$F$207,'Stock In'!$I$8:$I$207,$A20,'Stock In'!$D$8:$D$207,"IN"))</f>
        <v/>
      </c>
      <c r="D20" s="32">
        <f>IF($A20="","",SUMIF('Log Sale'!$I$9:$I$308,$A20,'Log Sale'!$K$9:$K$308)+SUMIFS('Stock In'!$F$8:$F$207,'Stock In'!$I$8:$I$207,$A20,'Stock In'!$D$8:$D$207,"SHRINKAGE"))</f>
        <v/>
      </c>
      <c r="E20" s="33">
        <f>IF($A20="","",$C20-$D20)</f>
        <v/>
      </c>
      <c r="F20" s="34">
        <f>IF($A20="","",IF($E20&lt;=_xlfn.XLOOKUP($A20,'Item Master'!$A$4:$A$53,'Item Master'!$G$4:$G$53,0)*0.1,"⚠️ REORDER NOW","✅ IN STOCK"))</f>
        <v/>
      </c>
      <c r="G20" s="35">
        <f>IF($A20="","",IF($F20="⚠️ REORDER NOW",HYPERLINK("https://wa.me/"&amp;SUBSTITUTE(SUBSTITUTE(SUBSTITUTE(SUBSTITUTE(SUBSTITUTE(SUBSTITUTE(_xlfn.XLOOKUP($A20,'Item Master'!$A$4:$A$53,'Item Master'!$J$4:$J$53,""),"+",""),"-","")," ",""),"(",""),")",""),".","")&amp;"?text="&amp;SUBSTITUTE("Hello "&amp;_xlfn.XLOOKUP($A20,'Item Master'!$A$4:$A$53,'Item Master'!$I$4:$I$53,"Supplier")&amp;", we urgently need more "&amp;$B20&amp;". Current stock is only "&amp;TEXT($E20,"0")&amp;" units. Please confirm availability and your fastest lead time. Thank you - Momentum Mind Store."," ","%20"),"💬  ORDER NOW"),""))</f>
        <v/>
      </c>
      <c r="H20" s="35">
        <f>IF($A20="","",IF($F20="⚠️ REORDER NOW",HYPERLINK("mailto:"&amp;_xlfn.XLOOKUP($A20,'Item Master'!$A$4:$A$53,'Item Master'!$K$4:$K$53,"")&amp;"?subject="&amp;SUBSTITUTE("URGENT restock request - "&amp;$B20&amp;" ("&amp;$A20&amp;")"," ","%20")&amp;"&amp;body="&amp;SUBSTITUTE(SUBSTITUTE("Hello "&amp;_xlfn.XLOOKUP($A20,'Item Master'!$A$4:$A$53,'Item Master'!$I$4:$I$53,"Supplier")&amp;"," &amp; CHAR(10) &amp; "We urgently need to restock "&amp;$B20&amp;" (SKU "&amp;$A20&amp;"). Our current stock is "&amp;TEXT($E20,"0")&amp;" units, which is below our reorder threshold." &amp; CHAR(10) &amp; "Please confirm availability, unit price and lead time by return." &amp; CHAR(10) &amp; "Kind regards," &amp; CHAR(10) &amp; Settings!$C$8," ","%20"),CHAR(10),"%0D%0A"),"✉️  EMAIL"),""))</f>
        <v/>
      </c>
      <c r="I20" s="36">
        <f>IF($A20="","",$E20*_xlfn.XLOOKUP($A20,'Item Master'!$A$4:$A$53,'Item Master'!$E$4:$E$53,0))</f>
        <v/>
      </c>
    </row>
    <row r="21" ht="32" customHeight="1">
      <c r="A21" s="30">
        <f>IF(INDEX('Item Master'!$A$4:$A$53,12)="","",INDEX('Item Master'!$A$4:$A$53,12))</f>
        <v/>
      </c>
      <c r="B21" s="31">
        <f>IF($A21="","",_xlfn.XLOOKUP($A21,'Item Master'!$A$4:$A$53,'Item Master'!$C$4:$C$53,""))</f>
        <v/>
      </c>
      <c r="C21" s="32">
        <f>IF($A21="","",SUMIFS('Stock In'!$F$8:$F$207,'Stock In'!$I$8:$I$207,$A21,'Stock In'!$D$8:$D$207,"IN"))</f>
        <v/>
      </c>
      <c r="D21" s="32">
        <f>IF($A21="","",SUMIF('Log Sale'!$I$9:$I$308,$A21,'Log Sale'!$K$9:$K$308)+SUMIFS('Stock In'!$F$8:$F$207,'Stock In'!$I$8:$I$207,$A21,'Stock In'!$D$8:$D$207,"SHRINKAGE"))</f>
        <v/>
      </c>
      <c r="E21" s="33">
        <f>IF($A21="","",$C21-$D21)</f>
        <v/>
      </c>
      <c r="F21" s="34">
        <f>IF($A21="","",IF($E21&lt;=_xlfn.XLOOKUP($A21,'Item Master'!$A$4:$A$53,'Item Master'!$G$4:$G$53,0)*0.1,"⚠️ REORDER NOW","✅ IN STOCK"))</f>
        <v/>
      </c>
      <c r="G21" s="35">
        <f>IF($A21="","",IF($F21="⚠️ REORDER NOW",HYPERLINK("https://wa.me/"&amp;SUBSTITUTE(SUBSTITUTE(SUBSTITUTE(SUBSTITUTE(SUBSTITUTE(SUBSTITUTE(_xlfn.XLOOKUP($A21,'Item Master'!$A$4:$A$53,'Item Master'!$J$4:$J$53,""),"+",""),"-","")," ",""),"(",""),")",""),".","")&amp;"?text="&amp;SUBSTITUTE("Hello "&amp;_xlfn.XLOOKUP($A21,'Item Master'!$A$4:$A$53,'Item Master'!$I$4:$I$53,"Supplier")&amp;", we urgently need more "&amp;$B21&amp;". Current stock is only "&amp;TEXT($E21,"0")&amp;" units. Please confirm availability and your fastest lead time. Thank you - Momentum Mind Store."," ","%20"),"💬  ORDER NOW"),""))</f>
        <v/>
      </c>
      <c r="H21" s="35">
        <f>IF($A21="","",IF($F21="⚠️ REORDER NOW",HYPERLINK("mailto:"&amp;_xlfn.XLOOKUP($A21,'Item Master'!$A$4:$A$53,'Item Master'!$K$4:$K$53,"")&amp;"?subject="&amp;SUBSTITUTE("URGENT restock request - "&amp;$B21&amp;" ("&amp;$A21&amp;")"," ","%20")&amp;"&amp;body="&amp;SUBSTITUTE(SUBSTITUTE("Hello "&amp;_xlfn.XLOOKUP($A21,'Item Master'!$A$4:$A$53,'Item Master'!$I$4:$I$53,"Supplier")&amp;"," &amp; CHAR(10) &amp; "We urgently need to restock "&amp;$B21&amp;" (SKU "&amp;$A21&amp;"). Our current stock is "&amp;TEXT($E21,"0")&amp;" units, which is below our reorder threshold." &amp; CHAR(10) &amp; "Please confirm availability, unit price and lead time by return." &amp; CHAR(10) &amp; "Kind regards," &amp; CHAR(10) &amp; Settings!$C$8," ","%20"),CHAR(10),"%0D%0A"),"✉️  EMAIL"),""))</f>
        <v/>
      </c>
      <c r="I21" s="36">
        <f>IF($A21="","",$E21*_xlfn.XLOOKUP($A21,'Item Master'!$A$4:$A$53,'Item Master'!$E$4:$E$53,0))</f>
        <v/>
      </c>
    </row>
    <row r="22" ht="32" customHeight="1">
      <c r="A22" s="30">
        <f>IF(INDEX('Item Master'!$A$4:$A$53,13)="","",INDEX('Item Master'!$A$4:$A$53,13))</f>
        <v/>
      </c>
      <c r="B22" s="31">
        <f>IF($A22="","",_xlfn.XLOOKUP($A22,'Item Master'!$A$4:$A$53,'Item Master'!$C$4:$C$53,""))</f>
        <v/>
      </c>
      <c r="C22" s="32">
        <f>IF($A22="","",SUMIFS('Stock In'!$F$8:$F$207,'Stock In'!$I$8:$I$207,$A22,'Stock In'!$D$8:$D$207,"IN"))</f>
        <v/>
      </c>
      <c r="D22" s="32">
        <f>IF($A22="","",SUMIF('Log Sale'!$I$9:$I$308,$A22,'Log Sale'!$K$9:$K$308)+SUMIFS('Stock In'!$F$8:$F$207,'Stock In'!$I$8:$I$207,$A22,'Stock In'!$D$8:$D$207,"SHRINKAGE"))</f>
        <v/>
      </c>
      <c r="E22" s="33">
        <f>IF($A22="","",$C22-$D22)</f>
        <v/>
      </c>
      <c r="F22" s="34">
        <f>IF($A22="","",IF($E22&lt;=_xlfn.XLOOKUP($A22,'Item Master'!$A$4:$A$53,'Item Master'!$G$4:$G$53,0)*0.1,"⚠️ REORDER NOW","✅ IN STOCK"))</f>
        <v/>
      </c>
      <c r="G22" s="35">
        <f>IF($A22="","",IF($F22="⚠️ REORDER NOW",HYPERLINK("https://wa.me/"&amp;SUBSTITUTE(SUBSTITUTE(SUBSTITUTE(SUBSTITUTE(SUBSTITUTE(SUBSTITUTE(_xlfn.XLOOKUP($A22,'Item Master'!$A$4:$A$53,'Item Master'!$J$4:$J$53,""),"+",""),"-","")," ",""),"(",""),")",""),".","")&amp;"?text="&amp;SUBSTITUTE("Hello "&amp;_xlfn.XLOOKUP($A22,'Item Master'!$A$4:$A$53,'Item Master'!$I$4:$I$53,"Supplier")&amp;", we urgently need more "&amp;$B22&amp;". Current stock is only "&amp;TEXT($E22,"0")&amp;" units. Please confirm availability and your fastest lead time. Thank you - Momentum Mind Store."," ","%20"),"💬  ORDER NOW"),""))</f>
        <v/>
      </c>
      <c r="H22" s="35">
        <f>IF($A22="","",IF($F22="⚠️ REORDER NOW",HYPERLINK("mailto:"&amp;_xlfn.XLOOKUP($A22,'Item Master'!$A$4:$A$53,'Item Master'!$K$4:$K$53,"")&amp;"?subject="&amp;SUBSTITUTE("URGENT restock request - "&amp;$B22&amp;" ("&amp;$A22&amp;")"," ","%20")&amp;"&amp;body="&amp;SUBSTITUTE(SUBSTITUTE("Hello "&amp;_xlfn.XLOOKUP($A22,'Item Master'!$A$4:$A$53,'Item Master'!$I$4:$I$53,"Supplier")&amp;"," &amp; CHAR(10) &amp; "We urgently need to restock "&amp;$B22&amp;" (SKU "&amp;$A22&amp;"). Our current stock is "&amp;TEXT($E22,"0")&amp;" units, which is below our reorder threshold." &amp; CHAR(10) &amp; "Please confirm availability, unit price and lead time by return." &amp; CHAR(10) &amp; "Kind regards," &amp; CHAR(10) &amp; Settings!$C$8," ","%20"),CHAR(10),"%0D%0A"),"✉️  EMAIL"),""))</f>
        <v/>
      </c>
      <c r="I22" s="36">
        <f>IF($A22="","",$E22*_xlfn.XLOOKUP($A22,'Item Master'!$A$4:$A$53,'Item Master'!$E$4:$E$53,0))</f>
        <v/>
      </c>
    </row>
    <row r="23" ht="32" customHeight="1">
      <c r="A23" s="30">
        <f>IF(INDEX('Item Master'!$A$4:$A$53,14)="","",INDEX('Item Master'!$A$4:$A$53,14))</f>
        <v/>
      </c>
      <c r="B23" s="31">
        <f>IF($A23="","",_xlfn.XLOOKUP($A23,'Item Master'!$A$4:$A$53,'Item Master'!$C$4:$C$53,""))</f>
        <v/>
      </c>
      <c r="C23" s="32">
        <f>IF($A23="","",SUMIFS('Stock In'!$F$8:$F$207,'Stock In'!$I$8:$I$207,$A23,'Stock In'!$D$8:$D$207,"IN"))</f>
        <v/>
      </c>
      <c r="D23" s="32">
        <f>IF($A23="","",SUMIF('Log Sale'!$I$9:$I$308,$A23,'Log Sale'!$K$9:$K$308)+SUMIFS('Stock In'!$F$8:$F$207,'Stock In'!$I$8:$I$207,$A23,'Stock In'!$D$8:$D$207,"SHRINKAGE"))</f>
        <v/>
      </c>
      <c r="E23" s="33">
        <f>IF($A23="","",$C23-$D23)</f>
        <v/>
      </c>
      <c r="F23" s="34">
        <f>IF($A23="","",IF($E23&lt;=_xlfn.XLOOKUP($A23,'Item Master'!$A$4:$A$53,'Item Master'!$G$4:$G$53,0)*0.1,"⚠️ REORDER NOW","✅ IN STOCK"))</f>
        <v/>
      </c>
      <c r="G23" s="35">
        <f>IF($A23="","",IF($F23="⚠️ REORDER NOW",HYPERLINK("https://wa.me/"&amp;SUBSTITUTE(SUBSTITUTE(SUBSTITUTE(SUBSTITUTE(SUBSTITUTE(SUBSTITUTE(_xlfn.XLOOKUP($A23,'Item Master'!$A$4:$A$53,'Item Master'!$J$4:$J$53,""),"+",""),"-","")," ",""),"(",""),")",""),".","")&amp;"?text="&amp;SUBSTITUTE("Hello "&amp;_xlfn.XLOOKUP($A23,'Item Master'!$A$4:$A$53,'Item Master'!$I$4:$I$53,"Supplier")&amp;", we urgently need more "&amp;$B23&amp;". Current stock is only "&amp;TEXT($E23,"0")&amp;" units. Please confirm availability and your fastest lead time. Thank you - Momentum Mind Store."," ","%20"),"💬  ORDER NOW"),""))</f>
        <v/>
      </c>
      <c r="H23" s="35">
        <f>IF($A23="","",IF($F23="⚠️ REORDER NOW",HYPERLINK("mailto:"&amp;_xlfn.XLOOKUP($A23,'Item Master'!$A$4:$A$53,'Item Master'!$K$4:$K$53,"")&amp;"?subject="&amp;SUBSTITUTE("URGENT restock request - "&amp;$B23&amp;" ("&amp;$A23&amp;")"," ","%20")&amp;"&amp;body="&amp;SUBSTITUTE(SUBSTITUTE("Hello "&amp;_xlfn.XLOOKUP($A23,'Item Master'!$A$4:$A$53,'Item Master'!$I$4:$I$53,"Supplier")&amp;"," &amp; CHAR(10) &amp; "We urgently need to restock "&amp;$B23&amp;" (SKU "&amp;$A23&amp;"). Our current stock is "&amp;TEXT($E23,"0")&amp;" units, which is below our reorder threshold." &amp; CHAR(10) &amp; "Please confirm availability, unit price and lead time by return." &amp; CHAR(10) &amp; "Kind regards," &amp; CHAR(10) &amp; Settings!$C$8," ","%20"),CHAR(10),"%0D%0A"),"✉️  EMAIL"),""))</f>
        <v/>
      </c>
      <c r="I23" s="36">
        <f>IF($A23="","",$E23*_xlfn.XLOOKUP($A23,'Item Master'!$A$4:$A$53,'Item Master'!$E$4:$E$53,0))</f>
        <v/>
      </c>
    </row>
    <row r="24" ht="32" customHeight="1">
      <c r="A24" s="30">
        <f>IF(INDEX('Item Master'!$A$4:$A$53,15)="","",INDEX('Item Master'!$A$4:$A$53,15))</f>
        <v/>
      </c>
      <c r="B24" s="31">
        <f>IF($A24="","",_xlfn.XLOOKUP($A24,'Item Master'!$A$4:$A$53,'Item Master'!$C$4:$C$53,""))</f>
        <v/>
      </c>
      <c r="C24" s="32">
        <f>IF($A24="","",SUMIFS('Stock In'!$F$8:$F$207,'Stock In'!$I$8:$I$207,$A24,'Stock In'!$D$8:$D$207,"IN"))</f>
        <v/>
      </c>
      <c r="D24" s="32">
        <f>IF($A24="","",SUMIF('Log Sale'!$I$9:$I$308,$A24,'Log Sale'!$K$9:$K$308)+SUMIFS('Stock In'!$F$8:$F$207,'Stock In'!$I$8:$I$207,$A24,'Stock In'!$D$8:$D$207,"SHRINKAGE"))</f>
        <v/>
      </c>
      <c r="E24" s="33">
        <f>IF($A24="","",$C24-$D24)</f>
        <v/>
      </c>
      <c r="F24" s="34">
        <f>IF($A24="","",IF($E24&lt;=_xlfn.XLOOKUP($A24,'Item Master'!$A$4:$A$53,'Item Master'!$G$4:$G$53,0)*0.1,"⚠️ REORDER NOW","✅ IN STOCK"))</f>
        <v/>
      </c>
      <c r="G24" s="35">
        <f>IF($A24="","",IF($F24="⚠️ REORDER NOW",HYPERLINK("https://wa.me/"&amp;SUBSTITUTE(SUBSTITUTE(SUBSTITUTE(SUBSTITUTE(SUBSTITUTE(SUBSTITUTE(_xlfn.XLOOKUP($A24,'Item Master'!$A$4:$A$53,'Item Master'!$J$4:$J$53,""),"+",""),"-","")," ",""),"(",""),")",""),".","")&amp;"?text="&amp;SUBSTITUTE("Hello "&amp;_xlfn.XLOOKUP($A24,'Item Master'!$A$4:$A$53,'Item Master'!$I$4:$I$53,"Supplier")&amp;", we urgently need more "&amp;$B24&amp;". Current stock is only "&amp;TEXT($E24,"0")&amp;" units. Please confirm availability and your fastest lead time. Thank you - Momentum Mind Store."," ","%20"),"💬  ORDER NOW"),""))</f>
        <v/>
      </c>
      <c r="H24" s="35">
        <f>IF($A24="","",IF($F24="⚠️ REORDER NOW",HYPERLINK("mailto:"&amp;_xlfn.XLOOKUP($A24,'Item Master'!$A$4:$A$53,'Item Master'!$K$4:$K$53,"")&amp;"?subject="&amp;SUBSTITUTE("URGENT restock request - "&amp;$B24&amp;" ("&amp;$A24&amp;")"," ","%20")&amp;"&amp;body="&amp;SUBSTITUTE(SUBSTITUTE("Hello "&amp;_xlfn.XLOOKUP($A24,'Item Master'!$A$4:$A$53,'Item Master'!$I$4:$I$53,"Supplier")&amp;"," &amp; CHAR(10) &amp; "We urgently need to restock "&amp;$B24&amp;" (SKU "&amp;$A24&amp;"). Our current stock is "&amp;TEXT($E24,"0")&amp;" units, which is below our reorder threshold." &amp; CHAR(10) &amp; "Please confirm availability, unit price and lead time by return." &amp; CHAR(10) &amp; "Kind regards," &amp; CHAR(10) &amp; Settings!$C$8," ","%20"),CHAR(10),"%0D%0A"),"✉️  EMAIL"),""))</f>
        <v/>
      </c>
      <c r="I24" s="36">
        <f>IF($A24="","",$E24*_xlfn.XLOOKUP($A24,'Item Master'!$A$4:$A$53,'Item Master'!$E$4:$E$53,0))</f>
        <v/>
      </c>
    </row>
    <row r="25" ht="32" customHeight="1">
      <c r="A25" s="30">
        <f>IF(INDEX('Item Master'!$A$4:$A$53,16)="","",INDEX('Item Master'!$A$4:$A$53,16))</f>
        <v/>
      </c>
      <c r="B25" s="31">
        <f>IF($A25="","",_xlfn.XLOOKUP($A25,'Item Master'!$A$4:$A$53,'Item Master'!$C$4:$C$53,""))</f>
        <v/>
      </c>
      <c r="C25" s="32">
        <f>IF($A25="","",SUMIFS('Stock In'!$F$8:$F$207,'Stock In'!$I$8:$I$207,$A25,'Stock In'!$D$8:$D$207,"IN"))</f>
        <v/>
      </c>
      <c r="D25" s="32">
        <f>IF($A25="","",SUMIF('Log Sale'!$I$9:$I$308,$A25,'Log Sale'!$K$9:$K$308)+SUMIFS('Stock In'!$F$8:$F$207,'Stock In'!$I$8:$I$207,$A25,'Stock In'!$D$8:$D$207,"SHRINKAGE"))</f>
        <v/>
      </c>
      <c r="E25" s="33">
        <f>IF($A25="","",$C25-$D25)</f>
        <v/>
      </c>
      <c r="F25" s="34">
        <f>IF($A25="","",IF($E25&lt;=_xlfn.XLOOKUP($A25,'Item Master'!$A$4:$A$53,'Item Master'!$G$4:$G$53,0)*0.1,"⚠️ REORDER NOW","✅ IN STOCK"))</f>
        <v/>
      </c>
      <c r="G25" s="35">
        <f>IF($A25="","",IF($F25="⚠️ REORDER NOW",HYPERLINK("https://wa.me/"&amp;SUBSTITUTE(SUBSTITUTE(SUBSTITUTE(SUBSTITUTE(SUBSTITUTE(SUBSTITUTE(_xlfn.XLOOKUP($A25,'Item Master'!$A$4:$A$53,'Item Master'!$J$4:$J$53,""),"+",""),"-","")," ",""),"(",""),")",""),".","")&amp;"?text="&amp;SUBSTITUTE("Hello "&amp;_xlfn.XLOOKUP($A25,'Item Master'!$A$4:$A$53,'Item Master'!$I$4:$I$53,"Supplier")&amp;", we urgently need more "&amp;$B25&amp;". Current stock is only "&amp;TEXT($E25,"0")&amp;" units. Please confirm availability and your fastest lead time. Thank you - Momentum Mind Store."," ","%20"),"💬  ORDER NOW"),""))</f>
        <v/>
      </c>
      <c r="H25" s="35">
        <f>IF($A25="","",IF($F25="⚠️ REORDER NOW",HYPERLINK("mailto:"&amp;_xlfn.XLOOKUP($A25,'Item Master'!$A$4:$A$53,'Item Master'!$K$4:$K$53,"")&amp;"?subject="&amp;SUBSTITUTE("URGENT restock request - "&amp;$B25&amp;" ("&amp;$A25&amp;")"," ","%20")&amp;"&amp;body="&amp;SUBSTITUTE(SUBSTITUTE("Hello "&amp;_xlfn.XLOOKUP($A25,'Item Master'!$A$4:$A$53,'Item Master'!$I$4:$I$53,"Supplier")&amp;"," &amp; CHAR(10) &amp; "We urgently need to restock "&amp;$B25&amp;" (SKU "&amp;$A25&amp;"). Our current stock is "&amp;TEXT($E25,"0")&amp;" units, which is below our reorder threshold." &amp; CHAR(10) &amp; "Please confirm availability, unit price and lead time by return." &amp; CHAR(10) &amp; "Kind regards," &amp; CHAR(10) &amp; Settings!$C$8," ","%20"),CHAR(10),"%0D%0A"),"✉️  EMAIL"),""))</f>
        <v/>
      </c>
      <c r="I25" s="36">
        <f>IF($A25="","",$E25*_xlfn.XLOOKUP($A25,'Item Master'!$A$4:$A$53,'Item Master'!$E$4:$E$53,0))</f>
        <v/>
      </c>
    </row>
    <row r="26" ht="32" customHeight="1">
      <c r="A26" s="30">
        <f>IF(INDEX('Item Master'!$A$4:$A$53,17)="","",INDEX('Item Master'!$A$4:$A$53,17))</f>
        <v/>
      </c>
      <c r="B26" s="31">
        <f>IF($A26="","",_xlfn.XLOOKUP($A26,'Item Master'!$A$4:$A$53,'Item Master'!$C$4:$C$53,""))</f>
        <v/>
      </c>
      <c r="C26" s="32">
        <f>IF($A26="","",SUMIFS('Stock In'!$F$8:$F$207,'Stock In'!$I$8:$I$207,$A26,'Stock In'!$D$8:$D$207,"IN"))</f>
        <v/>
      </c>
      <c r="D26" s="32">
        <f>IF($A26="","",SUMIF('Log Sale'!$I$9:$I$308,$A26,'Log Sale'!$K$9:$K$308)+SUMIFS('Stock In'!$F$8:$F$207,'Stock In'!$I$8:$I$207,$A26,'Stock In'!$D$8:$D$207,"SHRINKAGE"))</f>
        <v/>
      </c>
      <c r="E26" s="33">
        <f>IF($A26="","",$C26-$D26)</f>
        <v/>
      </c>
      <c r="F26" s="34">
        <f>IF($A26="","",IF($E26&lt;=_xlfn.XLOOKUP($A26,'Item Master'!$A$4:$A$53,'Item Master'!$G$4:$G$53,0)*0.1,"⚠️ REORDER NOW","✅ IN STOCK"))</f>
        <v/>
      </c>
      <c r="G26" s="35">
        <f>IF($A26="","",IF($F26="⚠️ REORDER NOW",HYPERLINK("https://wa.me/"&amp;SUBSTITUTE(SUBSTITUTE(SUBSTITUTE(SUBSTITUTE(SUBSTITUTE(SUBSTITUTE(_xlfn.XLOOKUP($A26,'Item Master'!$A$4:$A$53,'Item Master'!$J$4:$J$53,""),"+",""),"-","")," ",""),"(",""),")",""),".","")&amp;"?text="&amp;SUBSTITUTE("Hello "&amp;_xlfn.XLOOKUP($A26,'Item Master'!$A$4:$A$53,'Item Master'!$I$4:$I$53,"Supplier")&amp;", we urgently need more "&amp;$B26&amp;". Current stock is only "&amp;TEXT($E26,"0")&amp;" units. Please confirm availability and your fastest lead time. Thank you - Momentum Mind Store."," ","%20"),"💬  ORDER NOW"),""))</f>
        <v/>
      </c>
      <c r="H26" s="35">
        <f>IF($A26="","",IF($F26="⚠️ REORDER NOW",HYPERLINK("mailto:"&amp;_xlfn.XLOOKUP($A26,'Item Master'!$A$4:$A$53,'Item Master'!$K$4:$K$53,"")&amp;"?subject="&amp;SUBSTITUTE("URGENT restock request - "&amp;$B26&amp;" ("&amp;$A26&amp;")"," ","%20")&amp;"&amp;body="&amp;SUBSTITUTE(SUBSTITUTE("Hello "&amp;_xlfn.XLOOKUP($A26,'Item Master'!$A$4:$A$53,'Item Master'!$I$4:$I$53,"Supplier")&amp;"," &amp; CHAR(10) &amp; "We urgently need to restock "&amp;$B26&amp;" (SKU "&amp;$A26&amp;"). Our current stock is "&amp;TEXT($E26,"0")&amp;" units, which is below our reorder threshold." &amp; CHAR(10) &amp; "Please confirm availability, unit price and lead time by return." &amp; CHAR(10) &amp; "Kind regards," &amp; CHAR(10) &amp; Settings!$C$8," ","%20"),CHAR(10),"%0D%0A"),"✉️  EMAIL"),""))</f>
        <v/>
      </c>
      <c r="I26" s="36">
        <f>IF($A26="","",$E26*_xlfn.XLOOKUP($A26,'Item Master'!$A$4:$A$53,'Item Master'!$E$4:$E$53,0))</f>
        <v/>
      </c>
    </row>
    <row r="27" ht="32" customHeight="1">
      <c r="A27" s="30">
        <f>IF(INDEX('Item Master'!$A$4:$A$53,18)="","",INDEX('Item Master'!$A$4:$A$53,18))</f>
        <v/>
      </c>
      <c r="B27" s="31">
        <f>IF($A27="","",_xlfn.XLOOKUP($A27,'Item Master'!$A$4:$A$53,'Item Master'!$C$4:$C$53,""))</f>
        <v/>
      </c>
      <c r="C27" s="32">
        <f>IF($A27="","",SUMIFS('Stock In'!$F$8:$F$207,'Stock In'!$I$8:$I$207,$A27,'Stock In'!$D$8:$D$207,"IN"))</f>
        <v/>
      </c>
      <c r="D27" s="32">
        <f>IF($A27="","",SUMIF('Log Sale'!$I$9:$I$308,$A27,'Log Sale'!$K$9:$K$308)+SUMIFS('Stock In'!$F$8:$F$207,'Stock In'!$I$8:$I$207,$A27,'Stock In'!$D$8:$D$207,"SHRINKAGE"))</f>
        <v/>
      </c>
      <c r="E27" s="33">
        <f>IF($A27="","",$C27-$D27)</f>
        <v/>
      </c>
      <c r="F27" s="34">
        <f>IF($A27="","",IF($E27&lt;=_xlfn.XLOOKUP($A27,'Item Master'!$A$4:$A$53,'Item Master'!$G$4:$G$53,0)*0.1,"⚠️ REORDER NOW","✅ IN STOCK"))</f>
        <v/>
      </c>
      <c r="G27" s="35">
        <f>IF($A27="","",IF($F27="⚠️ REORDER NOW",HYPERLINK("https://wa.me/"&amp;SUBSTITUTE(SUBSTITUTE(SUBSTITUTE(SUBSTITUTE(SUBSTITUTE(SUBSTITUTE(_xlfn.XLOOKUP($A27,'Item Master'!$A$4:$A$53,'Item Master'!$J$4:$J$53,""),"+",""),"-","")," ",""),"(",""),")",""),".","")&amp;"?text="&amp;SUBSTITUTE("Hello "&amp;_xlfn.XLOOKUP($A27,'Item Master'!$A$4:$A$53,'Item Master'!$I$4:$I$53,"Supplier")&amp;", we urgently need more "&amp;$B27&amp;". Current stock is only "&amp;TEXT($E27,"0")&amp;" units. Please confirm availability and your fastest lead time. Thank you - Momentum Mind Store."," ","%20"),"💬  ORDER NOW"),""))</f>
        <v/>
      </c>
      <c r="H27" s="35">
        <f>IF($A27="","",IF($F27="⚠️ REORDER NOW",HYPERLINK("mailto:"&amp;_xlfn.XLOOKUP($A27,'Item Master'!$A$4:$A$53,'Item Master'!$K$4:$K$53,"")&amp;"?subject="&amp;SUBSTITUTE("URGENT restock request - "&amp;$B27&amp;" ("&amp;$A27&amp;")"," ","%20")&amp;"&amp;body="&amp;SUBSTITUTE(SUBSTITUTE("Hello "&amp;_xlfn.XLOOKUP($A27,'Item Master'!$A$4:$A$53,'Item Master'!$I$4:$I$53,"Supplier")&amp;"," &amp; CHAR(10) &amp; "We urgently need to restock "&amp;$B27&amp;" (SKU "&amp;$A27&amp;"). Our current stock is "&amp;TEXT($E27,"0")&amp;" units, which is below our reorder threshold." &amp; CHAR(10) &amp; "Please confirm availability, unit price and lead time by return." &amp; CHAR(10) &amp; "Kind regards," &amp; CHAR(10) &amp; Settings!$C$8," ","%20"),CHAR(10),"%0D%0A"),"✉️  EMAIL"),""))</f>
        <v/>
      </c>
      <c r="I27" s="36">
        <f>IF($A27="","",$E27*_xlfn.XLOOKUP($A27,'Item Master'!$A$4:$A$53,'Item Master'!$E$4:$E$53,0))</f>
        <v/>
      </c>
    </row>
    <row r="28" ht="32" customHeight="1">
      <c r="A28" s="30">
        <f>IF(INDEX('Item Master'!$A$4:$A$53,19)="","",INDEX('Item Master'!$A$4:$A$53,19))</f>
        <v/>
      </c>
      <c r="B28" s="31">
        <f>IF($A28="","",_xlfn.XLOOKUP($A28,'Item Master'!$A$4:$A$53,'Item Master'!$C$4:$C$53,""))</f>
        <v/>
      </c>
      <c r="C28" s="32">
        <f>IF($A28="","",SUMIFS('Stock In'!$F$8:$F$207,'Stock In'!$I$8:$I$207,$A28,'Stock In'!$D$8:$D$207,"IN"))</f>
        <v/>
      </c>
      <c r="D28" s="32">
        <f>IF($A28="","",SUMIF('Log Sale'!$I$9:$I$308,$A28,'Log Sale'!$K$9:$K$308)+SUMIFS('Stock In'!$F$8:$F$207,'Stock In'!$I$8:$I$207,$A28,'Stock In'!$D$8:$D$207,"SHRINKAGE"))</f>
        <v/>
      </c>
      <c r="E28" s="33">
        <f>IF($A28="","",$C28-$D28)</f>
        <v/>
      </c>
      <c r="F28" s="34">
        <f>IF($A28="","",IF($E28&lt;=_xlfn.XLOOKUP($A28,'Item Master'!$A$4:$A$53,'Item Master'!$G$4:$G$53,0)*0.1,"⚠️ REORDER NOW","✅ IN STOCK"))</f>
        <v/>
      </c>
      <c r="G28" s="35">
        <f>IF($A28="","",IF($F28="⚠️ REORDER NOW",HYPERLINK("https://wa.me/"&amp;SUBSTITUTE(SUBSTITUTE(SUBSTITUTE(SUBSTITUTE(SUBSTITUTE(SUBSTITUTE(_xlfn.XLOOKUP($A28,'Item Master'!$A$4:$A$53,'Item Master'!$J$4:$J$53,""),"+",""),"-","")," ",""),"(",""),")",""),".","")&amp;"?text="&amp;SUBSTITUTE("Hello "&amp;_xlfn.XLOOKUP($A28,'Item Master'!$A$4:$A$53,'Item Master'!$I$4:$I$53,"Supplier")&amp;", we urgently need more "&amp;$B28&amp;". Current stock is only "&amp;TEXT($E28,"0")&amp;" units. Please confirm availability and your fastest lead time. Thank you - Momentum Mind Store."," ","%20"),"💬  ORDER NOW"),""))</f>
        <v/>
      </c>
      <c r="H28" s="35">
        <f>IF($A28="","",IF($F28="⚠️ REORDER NOW",HYPERLINK("mailto:"&amp;_xlfn.XLOOKUP($A28,'Item Master'!$A$4:$A$53,'Item Master'!$K$4:$K$53,"")&amp;"?subject="&amp;SUBSTITUTE("URGENT restock request - "&amp;$B28&amp;" ("&amp;$A28&amp;")"," ","%20")&amp;"&amp;body="&amp;SUBSTITUTE(SUBSTITUTE("Hello "&amp;_xlfn.XLOOKUP($A28,'Item Master'!$A$4:$A$53,'Item Master'!$I$4:$I$53,"Supplier")&amp;"," &amp; CHAR(10) &amp; "We urgently need to restock "&amp;$B28&amp;" (SKU "&amp;$A28&amp;"). Our current stock is "&amp;TEXT($E28,"0")&amp;" units, which is below our reorder threshold." &amp; CHAR(10) &amp; "Please confirm availability, unit price and lead time by return." &amp; CHAR(10) &amp; "Kind regards," &amp; CHAR(10) &amp; Settings!$C$8," ","%20"),CHAR(10),"%0D%0A"),"✉️  EMAIL"),""))</f>
        <v/>
      </c>
      <c r="I28" s="36">
        <f>IF($A28="","",$E28*_xlfn.XLOOKUP($A28,'Item Master'!$A$4:$A$53,'Item Master'!$E$4:$E$53,0))</f>
        <v/>
      </c>
    </row>
    <row r="29" ht="32" customHeight="1">
      <c r="A29" s="30">
        <f>IF(INDEX('Item Master'!$A$4:$A$53,20)="","",INDEX('Item Master'!$A$4:$A$53,20))</f>
        <v/>
      </c>
      <c r="B29" s="31">
        <f>IF($A29="","",_xlfn.XLOOKUP($A29,'Item Master'!$A$4:$A$53,'Item Master'!$C$4:$C$53,""))</f>
        <v/>
      </c>
      <c r="C29" s="32">
        <f>IF($A29="","",SUMIFS('Stock In'!$F$8:$F$207,'Stock In'!$I$8:$I$207,$A29,'Stock In'!$D$8:$D$207,"IN"))</f>
        <v/>
      </c>
      <c r="D29" s="32">
        <f>IF($A29="","",SUMIF('Log Sale'!$I$9:$I$308,$A29,'Log Sale'!$K$9:$K$308)+SUMIFS('Stock In'!$F$8:$F$207,'Stock In'!$I$8:$I$207,$A29,'Stock In'!$D$8:$D$207,"SHRINKAGE"))</f>
        <v/>
      </c>
      <c r="E29" s="33">
        <f>IF($A29="","",$C29-$D29)</f>
        <v/>
      </c>
      <c r="F29" s="34">
        <f>IF($A29="","",IF($E29&lt;=_xlfn.XLOOKUP($A29,'Item Master'!$A$4:$A$53,'Item Master'!$G$4:$G$53,0)*0.1,"⚠️ REORDER NOW","✅ IN STOCK"))</f>
        <v/>
      </c>
      <c r="G29" s="35">
        <f>IF($A29="","",IF($F29="⚠️ REORDER NOW",HYPERLINK("https://wa.me/"&amp;SUBSTITUTE(SUBSTITUTE(SUBSTITUTE(SUBSTITUTE(SUBSTITUTE(SUBSTITUTE(_xlfn.XLOOKUP($A29,'Item Master'!$A$4:$A$53,'Item Master'!$J$4:$J$53,""),"+",""),"-","")," ",""),"(",""),")",""),".","")&amp;"?text="&amp;SUBSTITUTE("Hello "&amp;_xlfn.XLOOKUP($A29,'Item Master'!$A$4:$A$53,'Item Master'!$I$4:$I$53,"Supplier")&amp;", we urgently need more "&amp;$B29&amp;". Current stock is only "&amp;TEXT($E29,"0")&amp;" units. Please confirm availability and your fastest lead time. Thank you - Momentum Mind Store."," ","%20"),"💬  ORDER NOW"),""))</f>
        <v/>
      </c>
      <c r="H29" s="35">
        <f>IF($A29="","",IF($F29="⚠️ REORDER NOW",HYPERLINK("mailto:"&amp;_xlfn.XLOOKUP($A29,'Item Master'!$A$4:$A$53,'Item Master'!$K$4:$K$53,"")&amp;"?subject="&amp;SUBSTITUTE("URGENT restock request - "&amp;$B29&amp;" ("&amp;$A29&amp;")"," ","%20")&amp;"&amp;body="&amp;SUBSTITUTE(SUBSTITUTE("Hello "&amp;_xlfn.XLOOKUP($A29,'Item Master'!$A$4:$A$53,'Item Master'!$I$4:$I$53,"Supplier")&amp;"," &amp; CHAR(10) &amp; "We urgently need to restock "&amp;$B29&amp;" (SKU "&amp;$A29&amp;"). Our current stock is "&amp;TEXT($E29,"0")&amp;" units, which is below our reorder threshold." &amp; CHAR(10) &amp; "Please confirm availability, unit price and lead time by return." &amp; CHAR(10) &amp; "Kind regards," &amp; CHAR(10) &amp; Settings!$C$8," ","%20"),CHAR(10),"%0D%0A"),"✉️  EMAIL"),""))</f>
        <v/>
      </c>
      <c r="I29" s="36">
        <f>IF($A29="","",$E29*_xlfn.XLOOKUP($A29,'Item Master'!$A$4:$A$53,'Item Master'!$E$4:$E$53,0))</f>
        <v/>
      </c>
    </row>
    <row r="30" ht="32" customHeight="1">
      <c r="A30" s="30">
        <f>IF(INDEX('Item Master'!$A$4:$A$53,21)="","",INDEX('Item Master'!$A$4:$A$53,21))</f>
        <v/>
      </c>
      <c r="B30" s="31">
        <f>IF($A30="","",_xlfn.XLOOKUP($A30,'Item Master'!$A$4:$A$53,'Item Master'!$C$4:$C$53,""))</f>
        <v/>
      </c>
      <c r="C30" s="32">
        <f>IF($A30="","",SUMIFS('Stock In'!$F$8:$F$207,'Stock In'!$I$8:$I$207,$A30,'Stock In'!$D$8:$D$207,"IN"))</f>
        <v/>
      </c>
      <c r="D30" s="32">
        <f>IF($A30="","",SUMIF('Log Sale'!$I$9:$I$308,$A30,'Log Sale'!$K$9:$K$308)+SUMIFS('Stock In'!$F$8:$F$207,'Stock In'!$I$8:$I$207,$A30,'Stock In'!$D$8:$D$207,"SHRINKAGE"))</f>
        <v/>
      </c>
      <c r="E30" s="33">
        <f>IF($A30="","",$C30-$D30)</f>
        <v/>
      </c>
      <c r="F30" s="34">
        <f>IF($A30="","",IF($E30&lt;=_xlfn.XLOOKUP($A30,'Item Master'!$A$4:$A$53,'Item Master'!$G$4:$G$53,0)*0.1,"⚠️ REORDER NOW","✅ IN STOCK"))</f>
        <v/>
      </c>
      <c r="G30" s="35">
        <f>IF($A30="","",IF($F30="⚠️ REORDER NOW",HYPERLINK("https://wa.me/"&amp;SUBSTITUTE(SUBSTITUTE(SUBSTITUTE(SUBSTITUTE(SUBSTITUTE(SUBSTITUTE(_xlfn.XLOOKUP($A30,'Item Master'!$A$4:$A$53,'Item Master'!$J$4:$J$53,""),"+",""),"-","")," ",""),"(",""),")",""),".","")&amp;"?text="&amp;SUBSTITUTE("Hello "&amp;_xlfn.XLOOKUP($A30,'Item Master'!$A$4:$A$53,'Item Master'!$I$4:$I$53,"Supplier")&amp;", we urgently need more "&amp;$B30&amp;". Current stock is only "&amp;TEXT($E30,"0")&amp;" units. Please confirm availability and your fastest lead time. Thank you - Momentum Mind Store."," ","%20"),"💬  ORDER NOW"),""))</f>
        <v/>
      </c>
      <c r="H30" s="35">
        <f>IF($A30="","",IF($F30="⚠️ REORDER NOW",HYPERLINK("mailto:"&amp;_xlfn.XLOOKUP($A30,'Item Master'!$A$4:$A$53,'Item Master'!$K$4:$K$53,"")&amp;"?subject="&amp;SUBSTITUTE("URGENT restock request - "&amp;$B30&amp;" ("&amp;$A30&amp;")"," ","%20")&amp;"&amp;body="&amp;SUBSTITUTE(SUBSTITUTE("Hello "&amp;_xlfn.XLOOKUP($A30,'Item Master'!$A$4:$A$53,'Item Master'!$I$4:$I$53,"Supplier")&amp;"," &amp; CHAR(10) &amp; "We urgently need to restock "&amp;$B30&amp;" (SKU "&amp;$A30&amp;"). Our current stock is "&amp;TEXT($E30,"0")&amp;" units, which is below our reorder threshold." &amp; CHAR(10) &amp; "Please confirm availability, unit price and lead time by return." &amp; CHAR(10) &amp; "Kind regards," &amp; CHAR(10) &amp; Settings!$C$8," ","%20"),CHAR(10),"%0D%0A"),"✉️  EMAIL"),""))</f>
        <v/>
      </c>
      <c r="I30" s="36">
        <f>IF($A30="","",$E30*_xlfn.XLOOKUP($A30,'Item Master'!$A$4:$A$53,'Item Master'!$E$4:$E$53,0))</f>
        <v/>
      </c>
    </row>
    <row r="31" ht="32" customHeight="1">
      <c r="A31" s="30">
        <f>IF(INDEX('Item Master'!$A$4:$A$53,22)="","",INDEX('Item Master'!$A$4:$A$53,22))</f>
        <v/>
      </c>
      <c r="B31" s="31">
        <f>IF($A31="","",_xlfn.XLOOKUP($A31,'Item Master'!$A$4:$A$53,'Item Master'!$C$4:$C$53,""))</f>
        <v/>
      </c>
      <c r="C31" s="32">
        <f>IF($A31="","",SUMIFS('Stock In'!$F$8:$F$207,'Stock In'!$I$8:$I$207,$A31,'Stock In'!$D$8:$D$207,"IN"))</f>
        <v/>
      </c>
      <c r="D31" s="32">
        <f>IF($A31="","",SUMIF('Log Sale'!$I$9:$I$308,$A31,'Log Sale'!$K$9:$K$308)+SUMIFS('Stock In'!$F$8:$F$207,'Stock In'!$I$8:$I$207,$A31,'Stock In'!$D$8:$D$207,"SHRINKAGE"))</f>
        <v/>
      </c>
      <c r="E31" s="33">
        <f>IF($A31="","",$C31-$D31)</f>
        <v/>
      </c>
      <c r="F31" s="34">
        <f>IF($A31="","",IF($E31&lt;=_xlfn.XLOOKUP($A31,'Item Master'!$A$4:$A$53,'Item Master'!$G$4:$G$53,0)*0.1,"⚠️ REORDER NOW","✅ IN STOCK"))</f>
        <v/>
      </c>
      <c r="G31" s="35">
        <f>IF($A31="","",IF($F31="⚠️ REORDER NOW",HYPERLINK("https://wa.me/"&amp;SUBSTITUTE(SUBSTITUTE(SUBSTITUTE(SUBSTITUTE(SUBSTITUTE(SUBSTITUTE(_xlfn.XLOOKUP($A31,'Item Master'!$A$4:$A$53,'Item Master'!$J$4:$J$53,""),"+",""),"-","")," ",""),"(",""),")",""),".","")&amp;"?text="&amp;SUBSTITUTE("Hello "&amp;_xlfn.XLOOKUP($A31,'Item Master'!$A$4:$A$53,'Item Master'!$I$4:$I$53,"Supplier")&amp;", we urgently need more "&amp;$B31&amp;". Current stock is only "&amp;TEXT($E31,"0")&amp;" units. Please confirm availability and your fastest lead time. Thank you - Momentum Mind Store."," ","%20"),"💬  ORDER NOW"),""))</f>
        <v/>
      </c>
      <c r="H31" s="35">
        <f>IF($A31="","",IF($F31="⚠️ REORDER NOW",HYPERLINK("mailto:"&amp;_xlfn.XLOOKUP($A31,'Item Master'!$A$4:$A$53,'Item Master'!$K$4:$K$53,"")&amp;"?subject="&amp;SUBSTITUTE("URGENT restock request - "&amp;$B31&amp;" ("&amp;$A31&amp;")"," ","%20")&amp;"&amp;body="&amp;SUBSTITUTE(SUBSTITUTE("Hello "&amp;_xlfn.XLOOKUP($A31,'Item Master'!$A$4:$A$53,'Item Master'!$I$4:$I$53,"Supplier")&amp;"," &amp; CHAR(10) &amp; "We urgently need to restock "&amp;$B31&amp;" (SKU "&amp;$A31&amp;"). Our current stock is "&amp;TEXT($E31,"0")&amp;" units, which is below our reorder threshold." &amp; CHAR(10) &amp; "Please confirm availability, unit price and lead time by return." &amp; CHAR(10) &amp; "Kind regards," &amp; CHAR(10) &amp; Settings!$C$8," ","%20"),CHAR(10),"%0D%0A"),"✉️  EMAIL"),""))</f>
        <v/>
      </c>
      <c r="I31" s="36">
        <f>IF($A31="","",$E31*_xlfn.XLOOKUP($A31,'Item Master'!$A$4:$A$53,'Item Master'!$E$4:$E$53,0))</f>
        <v/>
      </c>
    </row>
    <row r="32" ht="32" customHeight="1">
      <c r="A32" s="30">
        <f>IF(INDEX('Item Master'!$A$4:$A$53,23)="","",INDEX('Item Master'!$A$4:$A$53,23))</f>
        <v/>
      </c>
      <c r="B32" s="31">
        <f>IF($A32="","",_xlfn.XLOOKUP($A32,'Item Master'!$A$4:$A$53,'Item Master'!$C$4:$C$53,""))</f>
        <v/>
      </c>
      <c r="C32" s="32">
        <f>IF($A32="","",SUMIFS('Stock In'!$F$8:$F$207,'Stock In'!$I$8:$I$207,$A32,'Stock In'!$D$8:$D$207,"IN"))</f>
        <v/>
      </c>
      <c r="D32" s="32">
        <f>IF($A32="","",SUMIF('Log Sale'!$I$9:$I$308,$A32,'Log Sale'!$K$9:$K$308)+SUMIFS('Stock In'!$F$8:$F$207,'Stock In'!$I$8:$I$207,$A32,'Stock In'!$D$8:$D$207,"SHRINKAGE"))</f>
        <v/>
      </c>
      <c r="E32" s="33">
        <f>IF($A32="","",$C32-$D32)</f>
        <v/>
      </c>
      <c r="F32" s="34">
        <f>IF($A32="","",IF($E32&lt;=_xlfn.XLOOKUP($A32,'Item Master'!$A$4:$A$53,'Item Master'!$G$4:$G$53,0)*0.1,"⚠️ REORDER NOW","✅ IN STOCK"))</f>
        <v/>
      </c>
      <c r="G32" s="35">
        <f>IF($A32="","",IF($F32="⚠️ REORDER NOW",HYPERLINK("https://wa.me/"&amp;SUBSTITUTE(SUBSTITUTE(SUBSTITUTE(SUBSTITUTE(SUBSTITUTE(SUBSTITUTE(_xlfn.XLOOKUP($A32,'Item Master'!$A$4:$A$53,'Item Master'!$J$4:$J$53,""),"+",""),"-","")," ",""),"(",""),")",""),".","")&amp;"?text="&amp;SUBSTITUTE("Hello "&amp;_xlfn.XLOOKUP($A32,'Item Master'!$A$4:$A$53,'Item Master'!$I$4:$I$53,"Supplier")&amp;", we urgently need more "&amp;$B32&amp;". Current stock is only "&amp;TEXT($E32,"0")&amp;" units. Please confirm availability and your fastest lead time. Thank you - Momentum Mind Store."," ","%20"),"💬  ORDER NOW"),""))</f>
        <v/>
      </c>
      <c r="H32" s="35">
        <f>IF($A32="","",IF($F32="⚠️ REORDER NOW",HYPERLINK("mailto:"&amp;_xlfn.XLOOKUP($A32,'Item Master'!$A$4:$A$53,'Item Master'!$K$4:$K$53,"")&amp;"?subject="&amp;SUBSTITUTE("URGENT restock request - "&amp;$B32&amp;" ("&amp;$A32&amp;")"," ","%20")&amp;"&amp;body="&amp;SUBSTITUTE(SUBSTITUTE("Hello "&amp;_xlfn.XLOOKUP($A32,'Item Master'!$A$4:$A$53,'Item Master'!$I$4:$I$53,"Supplier")&amp;"," &amp; CHAR(10) &amp; "We urgently need to restock "&amp;$B32&amp;" (SKU "&amp;$A32&amp;"). Our current stock is "&amp;TEXT($E32,"0")&amp;" units, which is below our reorder threshold." &amp; CHAR(10) &amp; "Please confirm availability, unit price and lead time by return." &amp; CHAR(10) &amp; "Kind regards," &amp; CHAR(10) &amp; Settings!$C$8," ","%20"),CHAR(10),"%0D%0A"),"✉️  EMAIL"),""))</f>
        <v/>
      </c>
      <c r="I32" s="36">
        <f>IF($A32="","",$E32*_xlfn.XLOOKUP($A32,'Item Master'!$A$4:$A$53,'Item Master'!$E$4:$E$53,0))</f>
        <v/>
      </c>
    </row>
    <row r="33" ht="32" customHeight="1">
      <c r="A33" s="30">
        <f>IF(INDEX('Item Master'!$A$4:$A$53,24)="","",INDEX('Item Master'!$A$4:$A$53,24))</f>
        <v/>
      </c>
      <c r="B33" s="31">
        <f>IF($A33="","",_xlfn.XLOOKUP($A33,'Item Master'!$A$4:$A$53,'Item Master'!$C$4:$C$53,""))</f>
        <v/>
      </c>
      <c r="C33" s="32">
        <f>IF($A33="","",SUMIFS('Stock In'!$F$8:$F$207,'Stock In'!$I$8:$I$207,$A33,'Stock In'!$D$8:$D$207,"IN"))</f>
        <v/>
      </c>
      <c r="D33" s="32">
        <f>IF($A33="","",SUMIF('Log Sale'!$I$9:$I$308,$A33,'Log Sale'!$K$9:$K$308)+SUMIFS('Stock In'!$F$8:$F$207,'Stock In'!$I$8:$I$207,$A33,'Stock In'!$D$8:$D$207,"SHRINKAGE"))</f>
        <v/>
      </c>
      <c r="E33" s="33">
        <f>IF($A33="","",$C33-$D33)</f>
        <v/>
      </c>
      <c r="F33" s="34">
        <f>IF($A33="","",IF($E33&lt;=_xlfn.XLOOKUP($A33,'Item Master'!$A$4:$A$53,'Item Master'!$G$4:$G$53,0)*0.1,"⚠️ REORDER NOW","✅ IN STOCK"))</f>
        <v/>
      </c>
      <c r="G33" s="35">
        <f>IF($A33="","",IF($F33="⚠️ REORDER NOW",HYPERLINK("https://wa.me/"&amp;SUBSTITUTE(SUBSTITUTE(SUBSTITUTE(SUBSTITUTE(SUBSTITUTE(SUBSTITUTE(_xlfn.XLOOKUP($A33,'Item Master'!$A$4:$A$53,'Item Master'!$J$4:$J$53,""),"+",""),"-","")," ",""),"(",""),")",""),".","")&amp;"?text="&amp;SUBSTITUTE("Hello "&amp;_xlfn.XLOOKUP($A33,'Item Master'!$A$4:$A$53,'Item Master'!$I$4:$I$53,"Supplier")&amp;", we urgently need more "&amp;$B33&amp;". Current stock is only "&amp;TEXT($E33,"0")&amp;" units. Please confirm availability and your fastest lead time. Thank you - Momentum Mind Store."," ","%20"),"💬  ORDER NOW"),""))</f>
        <v/>
      </c>
      <c r="H33" s="35">
        <f>IF($A33="","",IF($F33="⚠️ REORDER NOW",HYPERLINK("mailto:"&amp;_xlfn.XLOOKUP($A33,'Item Master'!$A$4:$A$53,'Item Master'!$K$4:$K$53,"")&amp;"?subject="&amp;SUBSTITUTE("URGENT restock request - "&amp;$B33&amp;" ("&amp;$A33&amp;")"," ","%20")&amp;"&amp;body="&amp;SUBSTITUTE(SUBSTITUTE("Hello "&amp;_xlfn.XLOOKUP($A33,'Item Master'!$A$4:$A$53,'Item Master'!$I$4:$I$53,"Supplier")&amp;"," &amp; CHAR(10) &amp; "We urgently need to restock "&amp;$B33&amp;" (SKU "&amp;$A33&amp;"). Our current stock is "&amp;TEXT($E33,"0")&amp;" units, which is below our reorder threshold." &amp; CHAR(10) &amp; "Please confirm availability, unit price and lead time by return." &amp; CHAR(10) &amp; "Kind regards," &amp; CHAR(10) &amp; Settings!$C$8," ","%20"),CHAR(10),"%0D%0A"),"✉️  EMAIL"),""))</f>
        <v/>
      </c>
      <c r="I33" s="36">
        <f>IF($A33="","",$E33*_xlfn.XLOOKUP($A33,'Item Master'!$A$4:$A$53,'Item Master'!$E$4:$E$53,0))</f>
        <v/>
      </c>
    </row>
    <row r="34" ht="32" customHeight="1">
      <c r="A34" s="30">
        <f>IF(INDEX('Item Master'!$A$4:$A$53,25)="","",INDEX('Item Master'!$A$4:$A$53,25))</f>
        <v/>
      </c>
      <c r="B34" s="31">
        <f>IF($A34="","",_xlfn.XLOOKUP($A34,'Item Master'!$A$4:$A$53,'Item Master'!$C$4:$C$53,""))</f>
        <v/>
      </c>
      <c r="C34" s="32">
        <f>IF($A34="","",SUMIFS('Stock In'!$F$8:$F$207,'Stock In'!$I$8:$I$207,$A34,'Stock In'!$D$8:$D$207,"IN"))</f>
        <v/>
      </c>
      <c r="D34" s="32">
        <f>IF($A34="","",SUMIF('Log Sale'!$I$9:$I$308,$A34,'Log Sale'!$K$9:$K$308)+SUMIFS('Stock In'!$F$8:$F$207,'Stock In'!$I$8:$I$207,$A34,'Stock In'!$D$8:$D$207,"SHRINKAGE"))</f>
        <v/>
      </c>
      <c r="E34" s="33">
        <f>IF($A34="","",$C34-$D34)</f>
        <v/>
      </c>
      <c r="F34" s="34">
        <f>IF($A34="","",IF($E34&lt;=_xlfn.XLOOKUP($A34,'Item Master'!$A$4:$A$53,'Item Master'!$G$4:$G$53,0)*0.1,"⚠️ REORDER NOW","✅ IN STOCK"))</f>
        <v/>
      </c>
      <c r="G34" s="35">
        <f>IF($A34="","",IF($F34="⚠️ REORDER NOW",HYPERLINK("https://wa.me/"&amp;SUBSTITUTE(SUBSTITUTE(SUBSTITUTE(SUBSTITUTE(SUBSTITUTE(SUBSTITUTE(_xlfn.XLOOKUP($A34,'Item Master'!$A$4:$A$53,'Item Master'!$J$4:$J$53,""),"+",""),"-","")," ",""),"(",""),")",""),".","")&amp;"?text="&amp;SUBSTITUTE("Hello "&amp;_xlfn.XLOOKUP($A34,'Item Master'!$A$4:$A$53,'Item Master'!$I$4:$I$53,"Supplier")&amp;", we urgently need more "&amp;$B34&amp;". Current stock is only "&amp;TEXT($E34,"0")&amp;" units. Please confirm availability and your fastest lead time. Thank you - Momentum Mind Store."," ","%20"),"💬  ORDER NOW"),""))</f>
        <v/>
      </c>
      <c r="H34" s="35">
        <f>IF($A34="","",IF($F34="⚠️ REORDER NOW",HYPERLINK("mailto:"&amp;_xlfn.XLOOKUP($A34,'Item Master'!$A$4:$A$53,'Item Master'!$K$4:$K$53,"")&amp;"?subject="&amp;SUBSTITUTE("URGENT restock request - "&amp;$B34&amp;" ("&amp;$A34&amp;")"," ","%20")&amp;"&amp;body="&amp;SUBSTITUTE(SUBSTITUTE("Hello "&amp;_xlfn.XLOOKUP($A34,'Item Master'!$A$4:$A$53,'Item Master'!$I$4:$I$53,"Supplier")&amp;"," &amp; CHAR(10) &amp; "We urgently need to restock "&amp;$B34&amp;" (SKU "&amp;$A34&amp;"). Our current stock is "&amp;TEXT($E34,"0")&amp;" units, which is below our reorder threshold." &amp; CHAR(10) &amp; "Please confirm availability, unit price and lead time by return." &amp; CHAR(10) &amp; "Kind regards," &amp; CHAR(10) &amp; Settings!$C$8," ","%20"),CHAR(10),"%0D%0A"),"✉️  EMAIL"),""))</f>
        <v/>
      </c>
      <c r="I34" s="36">
        <f>IF($A34="","",$E34*_xlfn.XLOOKUP($A34,'Item Master'!$A$4:$A$53,'Item Master'!$E$4:$E$53,0))</f>
        <v/>
      </c>
    </row>
    <row r="35" ht="32" customHeight="1">
      <c r="A35" s="30">
        <f>IF(INDEX('Item Master'!$A$4:$A$53,26)="","",INDEX('Item Master'!$A$4:$A$53,26))</f>
        <v/>
      </c>
      <c r="B35" s="31">
        <f>IF($A35="","",_xlfn.XLOOKUP($A35,'Item Master'!$A$4:$A$53,'Item Master'!$C$4:$C$53,""))</f>
        <v/>
      </c>
      <c r="C35" s="32">
        <f>IF($A35="","",SUMIFS('Stock In'!$F$8:$F$207,'Stock In'!$I$8:$I$207,$A35,'Stock In'!$D$8:$D$207,"IN"))</f>
        <v/>
      </c>
      <c r="D35" s="32">
        <f>IF($A35="","",SUMIF('Log Sale'!$I$9:$I$308,$A35,'Log Sale'!$K$9:$K$308)+SUMIFS('Stock In'!$F$8:$F$207,'Stock In'!$I$8:$I$207,$A35,'Stock In'!$D$8:$D$207,"SHRINKAGE"))</f>
        <v/>
      </c>
      <c r="E35" s="33">
        <f>IF($A35="","",$C35-$D35)</f>
        <v/>
      </c>
      <c r="F35" s="34">
        <f>IF($A35="","",IF($E35&lt;=_xlfn.XLOOKUP($A35,'Item Master'!$A$4:$A$53,'Item Master'!$G$4:$G$53,0)*0.1,"⚠️ REORDER NOW","✅ IN STOCK"))</f>
        <v/>
      </c>
      <c r="G35" s="35">
        <f>IF($A35="","",IF($F35="⚠️ REORDER NOW",HYPERLINK("https://wa.me/"&amp;SUBSTITUTE(SUBSTITUTE(SUBSTITUTE(SUBSTITUTE(SUBSTITUTE(SUBSTITUTE(_xlfn.XLOOKUP($A35,'Item Master'!$A$4:$A$53,'Item Master'!$J$4:$J$53,""),"+",""),"-","")," ",""),"(",""),")",""),".","")&amp;"?text="&amp;SUBSTITUTE("Hello "&amp;_xlfn.XLOOKUP($A35,'Item Master'!$A$4:$A$53,'Item Master'!$I$4:$I$53,"Supplier")&amp;", we urgently need more "&amp;$B35&amp;". Current stock is only "&amp;TEXT($E35,"0")&amp;" units. Please confirm availability and your fastest lead time. Thank you - Momentum Mind Store."," ","%20"),"💬  ORDER NOW"),""))</f>
        <v/>
      </c>
      <c r="H35" s="35">
        <f>IF($A35="","",IF($F35="⚠️ REORDER NOW",HYPERLINK("mailto:"&amp;_xlfn.XLOOKUP($A35,'Item Master'!$A$4:$A$53,'Item Master'!$K$4:$K$53,"")&amp;"?subject="&amp;SUBSTITUTE("URGENT restock request - "&amp;$B35&amp;" ("&amp;$A35&amp;")"," ","%20")&amp;"&amp;body="&amp;SUBSTITUTE(SUBSTITUTE("Hello "&amp;_xlfn.XLOOKUP($A35,'Item Master'!$A$4:$A$53,'Item Master'!$I$4:$I$53,"Supplier")&amp;"," &amp; CHAR(10) &amp; "We urgently need to restock "&amp;$B35&amp;" (SKU "&amp;$A35&amp;"). Our current stock is "&amp;TEXT($E35,"0")&amp;" units, which is below our reorder threshold." &amp; CHAR(10) &amp; "Please confirm availability, unit price and lead time by return." &amp; CHAR(10) &amp; "Kind regards," &amp; CHAR(10) &amp; Settings!$C$8," ","%20"),CHAR(10),"%0D%0A"),"✉️  EMAIL"),""))</f>
        <v/>
      </c>
      <c r="I35" s="36">
        <f>IF($A35="","",$E35*_xlfn.XLOOKUP($A35,'Item Master'!$A$4:$A$53,'Item Master'!$E$4:$E$53,0))</f>
        <v/>
      </c>
    </row>
    <row r="36" ht="32" customHeight="1">
      <c r="A36" s="30">
        <f>IF(INDEX('Item Master'!$A$4:$A$53,27)="","",INDEX('Item Master'!$A$4:$A$53,27))</f>
        <v/>
      </c>
      <c r="B36" s="31">
        <f>IF($A36="","",_xlfn.XLOOKUP($A36,'Item Master'!$A$4:$A$53,'Item Master'!$C$4:$C$53,""))</f>
        <v/>
      </c>
      <c r="C36" s="32">
        <f>IF($A36="","",SUMIFS('Stock In'!$F$8:$F$207,'Stock In'!$I$8:$I$207,$A36,'Stock In'!$D$8:$D$207,"IN"))</f>
        <v/>
      </c>
      <c r="D36" s="32">
        <f>IF($A36="","",SUMIF('Log Sale'!$I$9:$I$308,$A36,'Log Sale'!$K$9:$K$308)+SUMIFS('Stock In'!$F$8:$F$207,'Stock In'!$I$8:$I$207,$A36,'Stock In'!$D$8:$D$207,"SHRINKAGE"))</f>
        <v/>
      </c>
      <c r="E36" s="33">
        <f>IF($A36="","",$C36-$D36)</f>
        <v/>
      </c>
      <c r="F36" s="34">
        <f>IF($A36="","",IF($E36&lt;=_xlfn.XLOOKUP($A36,'Item Master'!$A$4:$A$53,'Item Master'!$G$4:$G$53,0)*0.1,"⚠️ REORDER NOW","✅ IN STOCK"))</f>
        <v/>
      </c>
      <c r="G36" s="35">
        <f>IF($A36="","",IF($F36="⚠️ REORDER NOW",HYPERLINK("https://wa.me/"&amp;SUBSTITUTE(SUBSTITUTE(SUBSTITUTE(SUBSTITUTE(SUBSTITUTE(SUBSTITUTE(_xlfn.XLOOKUP($A36,'Item Master'!$A$4:$A$53,'Item Master'!$J$4:$J$53,""),"+",""),"-","")," ",""),"(",""),")",""),".","")&amp;"?text="&amp;SUBSTITUTE("Hello "&amp;_xlfn.XLOOKUP($A36,'Item Master'!$A$4:$A$53,'Item Master'!$I$4:$I$53,"Supplier")&amp;", we urgently need more "&amp;$B36&amp;". Current stock is only "&amp;TEXT($E36,"0")&amp;" units. Please confirm availability and your fastest lead time. Thank you - Momentum Mind Store."," ","%20"),"💬  ORDER NOW"),""))</f>
        <v/>
      </c>
      <c r="H36" s="35">
        <f>IF($A36="","",IF($F36="⚠️ REORDER NOW",HYPERLINK("mailto:"&amp;_xlfn.XLOOKUP($A36,'Item Master'!$A$4:$A$53,'Item Master'!$K$4:$K$53,"")&amp;"?subject="&amp;SUBSTITUTE("URGENT restock request - "&amp;$B36&amp;" ("&amp;$A36&amp;")"," ","%20")&amp;"&amp;body="&amp;SUBSTITUTE(SUBSTITUTE("Hello "&amp;_xlfn.XLOOKUP($A36,'Item Master'!$A$4:$A$53,'Item Master'!$I$4:$I$53,"Supplier")&amp;"," &amp; CHAR(10) &amp; "We urgently need to restock "&amp;$B36&amp;" (SKU "&amp;$A36&amp;"). Our current stock is "&amp;TEXT($E36,"0")&amp;" units, which is below our reorder threshold." &amp; CHAR(10) &amp; "Please confirm availability, unit price and lead time by return." &amp; CHAR(10) &amp; "Kind regards," &amp; CHAR(10) &amp; Settings!$C$8," ","%20"),CHAR(10),"%0D%0A"),"✉️  EMAIL"),""))</f>
        <v/>
      </c>
      <c r="I36" s="36">
        <f>IF($A36="","",$E36*_xlfn.XLOOKUP($A36,'Item Master'!$A$4:$A$53,'Item Master'!$E$4:$E$53,0))</f>
        <v/>
      </c>
    </row>
    <row r="37" ht="32" customHeight="1">
      <c r="A37" s="30">
        <f>IF(INDEX('Item Master'!$A$4:$A$53,28)="","",INDEX('Item Master'!$A$4:$A$53,28))</f>
        <v/>
      </c>
      <c r="B37" s="31">
        <f>IF($A37="","",_xlfn.XLOOKUP($A37,'Item Master'!$A$4:$A$53,'Item Master'!$C$4:$C$53,""))</f>
        <v/>
      </c>
      <c r="C37" s="32">
        <f>IF($A37="","",SUMIFS('Stock In'!$F$8:$F$207,'Stock In'!$I$8:$I$207,$A37,'Stock In'!$D$8:$D$207,"IN"))</f>
        <v/>
      </c>
      <c r="D37" s="32">
        <f>IF($A37="","",SUMIF('Log Sale'!$I$9:$I$308,$A37,'Log Sale'!$K$9:$K$308)+SUMIFS('Stock In'!$F$8:$F$207,'Stock In'!$I$8:$I$207,$A37,'Stock In'!$D$8:$D$207,"SHRINKAGE"))</f>
        <v/>
      </c>
      <c r="E37" s="33">
        <f>IF($A37="","",$C37-$D37)</f>
        <v/>
      </c>
      <c r="F37" s="34">
        <f>IF($A37="","",IF($E37&lt;=_xlfn.XLOOKUP($A37,'Item Master'!$A$4:$A$53,'Item Master'!$G$4:$G$53,0)*0.1,"⚠️ REORDER NOW","✅ IN STOCK"))</f>
        <v/>
      </c>
      <c r="G37" s="35">
        <f>IF($A37="","",IF($F37="⚠️ REORDER NOW",HYPERLINK("https://wa.me/"&amp;SUBSTITUTE(SUBSTITUTE(SUBSTITUTE(SUBSTITUTE(SUBSTITUTE(SUBSTITUTE(_xlfn.XLOOKUP($A37,'Item Master'!$A$4:$A$53,'Item Master'!$J$4:$J$53,""),"+",""),"-","")," ",""),"(",""),")",""),".","")&amp;"?text="&amp;SUBSTITUTE("Hello "&amp;_xlfn.XLOOKUP($A37,'Item Master'!$A$4:$A$53,'Item Master'!$I$4:$I$53,"Supplier")&amp;", we urgently need more "&amp;$B37&amp;". Current stock is only "&amp;TEXT($E37,"0")&amp;" units. Please confirm availability and your fastest lead time. Thank you - Momentum Mind Store."," ","%20"),"💬  ORDER NOW"),""))</f>
        <v/>
      </c>
      <c r="H37" s="35">
        <f>IF($A37="","",IF($F37="⚠️ REORDER NOW",HYPERLINK("mailto:"&amp;_xlfn.XLOOKUP($A37,'Item Master'!$A$4:$A$53,'Item Master'!$K$4:$K$53,"")&amp;"?subject="&amp;SUBSTITUTE("URGENT restock request - "&amp;$B37&amp;" ("&amp;$A37&amp;")"," ","%20")&amp;"&amp;body="&amp;SUBSTITUTE(SUBSTITUTE("Hello "&amp;_xlfn.XLOOKUP($A37,'Item Master'!$A$4:$A$53,'Item Master'!$I$4:$I$53,"Supplier")&amp;"," &amp; CHAR(10) &amp; "We urgently need to restock "&amp;$B37&amp;" (SKU "&amp;$A37&amp;"). Our current stock is "&amp;TEXT($E37,"0")&amp;" units, which is below our reorder threshold." &amp; CHAR(10) &amp; "Please confirm availability, unit price and lead time by return." &amp; CHAR(10) &amp; "Kind regards," &amp; CHAR(10) &amp; Settings!$C$8," ","%20"),CHAR(10),"%0D%0A"),"✉️  EMAIL"),""))</f>
        <v/>
      </c>
      <c r="I37" s="36">
        <f>IF($A37="","",$E37*_xlfn.XLOOKUP($A37,'Item Master'!$A$4:$A$53,'Item Master'!$E$4:$E$53,0))</f>
        <v/>
      </c>
    </row>
    <row r="38" ht="32" customHeight="1">
      <c r="A38" s="30">
        <f>IF(INDEX('Item Master'!$A$4:$A$53,29)="","",INDEX('Item Master'!$A$4:$A$53,29))</f>
        <v/>
      </c>
      <c r="B38" s="31">
        <f>IF($A38="","",_xlfn.XLOOKUP($A38,'Item Master'!$A$4:$A$53,'Item Master'!$C$4:$C$53,""))</f>
        <v/>
      </c>
      <c r="C38" s="32">
        <f>IF($A38="","",SUMIFS('Stock In'!$F$8:$F$207,'Stock In'!$I$8:$I$207,$A38,'Stock In'!$D$8:$D$207,"IN"))</f>
        <v/>
      </c>
      <c r="D38" s="32">
        <f>IF($A38="","",SUMIF('Log Sale'!$I$9:$I$308,$A38,'Log Sale'!$K$9:$K$308)+SUMIFS('Stock In'!$F$8:$F$207,'Stock In'!$I$8:$I$207,$A38,'Stock In'!$D$8:$D$207,"SHRINKAGE"))</f>
        <v/>
      </c>
      <c r="E38" s="33">
        <f>IF($A38="","",$C38-$D38)</f>
        <v/>
      </c>
      <c r="F38" s="34">
        <f>IF($A38="","",IF($E38&lt;=_xlfn.XLOOKUP($A38,'Item Master'!$A$4:$A$53,'Item Master'!$G$4:$G$53,0)*0.1,"⚠️ REORDER NOW","✅ IN STOCK"))</f>
        <v/>
      </c>
      <c r="G38" s="35">
        <f>IF($A38="","",IF($F38="⚠️ REORDER NOW",HYPERLINK("https://wa.me/"&amp;SUBSTITUTE(SUBSTITUTE(SUBSTITUTE(SUBSTITUTE(SUBSTITUTE(SUBSTITUTE(_xlfn.XLOOKUP($A38,'Item Master'!$A$4:$A$53,'Item Master'!$J$4:$J$53,""),"+",""),"-","")," ",""),"(",""),")",""),".","")&amp;"?text="&amp;SUBSTITUTE("Hello "&amp;_xlfn.XLOOKUP($A38,'Item Master'!$A$4:$A$53,'Item Master'!$I$4:$I$53,"Supplier")&amp;", we urgently need more "&amp;$B38&amp;". Current stock is only "&amp;TEXT($E38,"0")&amp;" units. Please confirm availability and your fastest lead time. Thank you - Momentum Mind Store."," ","%20"),"💬  ORDER NOW"),""))</f>
        <v/>
      </c>
      <c r="H38" s="35">
        <f>IF($A38="","",IF($F38="⚠️ REORDER NOW",HYPERLINK("mailto:"&amp;_xlfn.XLOOKUP($A38,'Item Master'!$A$4:$A$53,'Item Master'!$K$4:$K$53,"")&amp;"?subject="&amp;SUBSTITUTE("URGENT restock request - "&amp;$B38&amp;" ("&amp;$A38&amp;")"," ","%20")&amp;"&amp;body="&amp;SUBSTITUTE(SUBSTITUTE("Hello "&amp;_xlfn.XLOOKUP($A38,'Item Master'!$A$4:$A$53,'Item Master'!$I$4:$I$53,"Supplier")&amp;"," &amp; CHAR(10) &amp; "We urgently need to restock "&amp;$B38&amp;" (SKU "&amp;$A38&amp;"). Our current stock is "&amp;TEXT($E38,"0")&amp;" units, which is below our reorder threshold." &amp; CHAR(10) &amp; "Please confirm availability, unit price and lead time by return." &amp; CHAR(10) &amp; "Kind regards," &amp; CHAR(10) &amp; Settings!$C$8," ","%20"),CHAR(10),"%0D%0A"),"✉️  EMAIL"),""))</f>
        <v/>
      </c>
      <c r="I38" s="36">
        <f>IF($A38="","",$E38*_xlfn.XLOOKUP($A38,'Item Master'!$A$4:$A$53,'Item Master'!$E$4:$E$53,0))</f>
        <v/>
      </c>
    </row>
    <row r="39" ht="32" customHeight="1">
      <c r="A39" s="30">
        <f>IF(INDEX('Item Master'!$A$4:$A$53,30)="","",INDEX('Item Master'!$A$4:$A$53,30))</f>
        <v/>
      </c>
      <c r="B39" s="31">
        <f>IF($A39="","",_xlfn.XLOOKUP($A39,'Item Master'!$A$4:$A$53,'Item Master'!$C$4:$C$53,""))</f>
        <v/>
      </c>
      <c r="C39" s="32">
        <f>IF($A39="","",SUMIFS('Stock In'!$F$8:$F$207,'Stock In'!$I$8:$I$207,$A39,'Stock In'!$D$8:$D$207,"IN"))</f>
        <v/>
      </c>
      <c r="D39" s="32">
        <f>IF($A39="","",SUMIF('Log Sale'!$I$9:$I$308,$A39,'Log Sale'!$K$9:$K$308)+SUMIFS('Stock In'!$F$8:$F$207,'Stock In'!$I$8:$I$207,$A39,'Stock In'!$D$8:$D$207,"SHRINKAGE"))</f>
        <v/>
      </c>
      <c r="E39" s="33">
        <f>IF($A39="","",$C39-$D39)</f>
        <v/>
      </c>
      <c r="F39" s="34">
        <f>IF($A39="","",IF($E39&lt;=_xlfn.XLOOKUP($A39,'Item Master'!$A$4:$A$53,'Item Master'!$G$4:$G$53,0)*0.1,"⚠️ REORDER NOW","✅ IN STOCK"))</f>
        <v/>
      </c>
      <c r="G39" s="35">
        <f>IF($A39="","",IF($F39="⚠️ REORDER NOW",HYPERLINK("https://wa.me/"&amp;SUBSTITUTE(SUBSTITUTE(SUBSTITUTE(SUBSTITUTE(SUBSTITUTE(SUBSTITUTE(_xlfn.XLOOKUP($A39,'Item Master'!$A$4:$A$53,'Item Master'!$J$4:$J$53,""),"+",""),"-","")," ",""),"(",""),")",""),".","")&amp;"?text="&amp;SUBSTITUTE("Hello "&amp;_xlfn.XLOOKUP($A39,'Item Master'!$A$4:$A$53,'Item Master'!$I$4:$I$53,"Supplier")&amp;", we urgently need more "&amp;$B39&amp;". Current stock is only "&amp;TEXT($E39,"0")&amp;" units. Please confirm availability and your fastest lead time. Thank you - Momentum Mind Store."," ","%20"),"💬  ORDER NOW"),""))</f>
        <v/>
      </c>
      <c r="H39" s="35">
        <f>IF($A39="","",IF($F39="⚠️ REORDER NOW",HYPERLINK("mailto:"&amp;_xlfn.XLOOKUP($A39,'Item Master'!$A$4:$A$53,'Item Master'!$K$4:$K$53,"")&amp;"?subject="&amp;SUBSTITUTE("URGENT restock request - "&amp;$B39&amp;" ("&amp;$A39&amp;")"," ","%20")&amp;"&amp;body="&amp;SUBSTITUTE(SUBSTITUTE("Hello "&amp;_xlfn.XLOOKUP($A39,'Item Master'!$A$4:$A$53,'Item Master'!$I$4:$I$53,"Supplier")&amp;"," &amp; CHAR(10) &amp; "We urgently need to restock "&amp;$B39&amp;" (SKU "&amp;$A39&amp;"). Our current stock is "&amp;TEXT($E39,"0")&amp;" units, which is below our reorder threshold." &amp; CHAR(10) &amp; "Please confirm availability, unit price and lead time by return." &amp; CHAR(10) &amp; "Kind regards," &amp; CHAR(10) &amp; Settings!$C$8," ","%20"),CHAR(10),"%0D%0A"),"✉️  EMAIL"),""))</f>
        <v/>
      </c>
      <c r="I39" s="36">
        <f>IF($A39="","",$E39*_xlfn.XLOOKUP($A39,'Item Master'!$A$4:$A$53,'Item Master'!$E$4:$E$53,0))</f>
        <v/>
      </c>
    </row>
    <row r="40" ht="32" customHeight="1">
      <c r="A40" s="30">
        <f>IF(INDEX('Item Master'!$A$4:$A$53,31)="","",INDEX('Item Master'!$A$4:$A$53,31))</f>
        <v/>
      </c>
      <c r="B40" s="31">
        <f>IF($A40="","",_xlfn.XLOOKUP($A40,'Item Master'!$A$4:$A$53,'Item Master'!$C$4:$C$53,""))</f>
        <v/>
      </c>
      <c r="C40" s="32">
        <f>IF($A40="","",SUMIFS('Stock In'!$F$8:$F$207,'Stock In'!$I$8:$I$207,$A40,'Stock In'!$D$8:$D$207,"IN"))</f>
        <v/>
      </c>
      <c r="D40" s="32">
        <f>IF($A40="","",SUMIF('Log Sale'!$I$9:$I$308,$A40,'Log Sale'!$K$9:$K$308)+SUMIFS('Stock In'!$F$8:$F$207,'Stock In'!$I$8:$I$207,$A40,'Stock In'!$D$8:$D$207,"SHRINKAGE"))</f>
        <v/>
      </c>
      <c r="E40" s="33">
        <f>IF($A40="","",$C40-$D40)</f>
        <v/>
      </c>
      <c r="F40" s="34">
        <f>IF($A40="","",IF($E40&lt;=_xlfn.XLOOKUP($A40,'Item Master'!$A$4:$A$53,'Item Master'!$G$4:$G$53,0)*0.1,"⚠️ REORDER NOW","✅ IN STOCK"))</f>
        <v/>
      </c>
      <c r="G40" s="35">
        <f>IF($A40="","",IF($F40="⚠️ REORDER NOW",HYPERLINK("https://wa.me/"&amp;SUBSTITUTE(SUBSTITUTE(SUBSTITUTE(SUBSTITUTE(SUBSTITUTE(SUBSTITUTE(_xlfn.XLOOKUP($A40,'Item Master'!$A$4:$A$53,'Item Master'!$J$4:$J$53,""),"+",""),"-","")," ",""),"(",""),")",""),".","")&amp;"?text="&amp;SUBSTITUTE("Hello "&amp;_xlfn.XLOOKUP($A40,'Item Master'!$A$4:$A$53,'Item Master'!$I$4:$I$53,"Supplier")&amp;", we urgently need more "&amp;$B40&amp;". Current stock is only "&amp;TEXT($E40,"0")&amp;" units. Please confirm availability and your fastest lead time. Thank you - Momentum Mind Store."," ","%20"),"💬  ORDER NOW"),""))</f>
        <v/>
      </c>
      <c r="H40" s="35">
        <f>IF($A40="","",IF($F40="⚠️ REORDER NOW",HYPERLINK("mailto:"&amp;_xlfn.XLOOKUP($A40,'Item Master'!$A$4:$A$53,'Item Master'!$K$4:$K$53,"")&amp;"?subject="&amp;SUBSTITUTE("URGENT restock request - "&amp;$B40&amp;" ("&amp;$A40&amp;")"," ","%20")&amp;"&amp;body="&amp;SUBSTITUTE(SUBSTITUTE("Hello "&amp;_xlfn.XLOOKUP($A40,'Item Master'!$A$4:$A$53,'Item Master'!$I$4:$I$53,"Supplier")&amp;"," &amp; CHAR(10) &amp; "We urgently need to restock "&amp;$B40&amp;" (SKU "&amp;$A40&amp;"). Our current stock is "&amp;TEXT($E40,"0")&amp;" units, which is below our reorder threshold." &amp; CHAR(10) &amp; "Please confirm availability, unit price and lead time by return." &amp; CHAR(10) &amp; "Kind regards," &amp; CHAR(10) &amp; Settings!$C$8," ","%20"),CHAR(10),"%0D%0A"),"✉️  EMAIL"),""))</f>
        <v/>
      </c>
      <c r="I40" s="36">
        <f>IF($A40="","",$E40*_xlfn.XLOOKUP($A40,'Item Master'!$A$4:$A$53,'Item Master'!$E$4:$E$53,0))</f>
        <v/>
      </c>
    </row>
    <row r="41" ht="32" customHeight="1">
      <c r="A41" s="30">
        <f>IF(INDEX('Item Master'!$A$4:$A$53,32)="","",INDEX('Item Master'!$A$4:$A$53,32))</f>
        <v/>
      </c>
      <c r="B41" s="31">
        <f>IF($A41="","",_xlfn.XLOOKUP($A41,'Item Master'!$A$4:$A$53,'Item Master'!$C$4:$C$53,""))</f>
        <v/>
      </c>
      <c r="C41" s="32">
        <f>IF($A41="","",SUMIFS('Stock In'!$F$8:$F$207,'Stock In'!$I$8:$I$207,$A41,'Stock In'!$D$8:$D$207,"IN"))</f>
        <v/>
      </c>
      <c r="D41" s="32">
        <f>IF($A41="","",SUMIF('Log Sale'!$I$9:$I$308,$A41,'Log Sale'!$K$9:$K$308)+SUMIFS('Stock In'!$F$8:$F$207,'Stock In'!$I$8:$I$207,$A41,'Stock In'!$D$8:$D$207,"SHRINKAGE"))</f>
        <v/>
      </c>
      <c r="E41" s="33">
        <f>IF($A41="","",$C41-$D41)</f>
        <v/>
      </c>
      <c r="F41" s="34">
        <f>IF($A41="","",IF($E41&lt;=_xlfn.XLOOKUP($A41,'Item Master'!$A$4:$A$53,'Item Master'!$G$4:$G$53,0)*0.1,"⚠️ REORDER NOW","✅ IN STOCK"))</f>
        <v/>
      </c>
      <c r="G41" s="35">
        <f>IF($A41="","",IF($F41="⚠️ REORDER NOW",HYPERLINK("https://wa.me/"&amp;SUBSTITUTE(SUBSTITUTE(SUBSTITUTE(SUBSTITUTE(SUBSTITUTE(SUBSTITUTE(_xlfn.XLOOKUP($A41,'Item Master'!$A$4:$A$53,'Item Master'!$J$4:$J$53,""),"+",""),"-","")," ",""),"(",""),")",""),".","")&amp;"?text="&amp;SUBSTITUTE("Hello "&amp;_xlfn.XLOOKUP($A41,'Item Master'!$A$4:$A$53,'Item Master'!$I$4:$I$53,"Supplier")&amp;", we urgently need more "&amp;$B41&amp;". Current stock is only "&amp;TEXT($E41,"0")&amp;" units. Please confirm availability and your fastest lead time. Thank you - Momentum Mind Store."," ","%20"),"💬  ORDER NOW"),""))</f>
        <v/>
      </c>
      <c r="H41" s="35">
        <f>IF($A41="","",IF($F41="⚠️ REORDER NOW",HYPERLINK("mailto:"&amp;_xlfn.XLOOKUP($A41,'Item Master'!$A$4:$A$53,'Item Master'!$K$4:$K$53,"")&amp;"?subject="&amp;SUBSTITUTE("URGENT restock request - "&amp;$B41&amp;" ("&amp;$A41&amp;")"," ","%20")&amp;"&amp;body="&amp;SUBSTITUTE(SUBSTITUTE("Hello "&amp;_xlfn.XLOOKUP($A41,'Item Master'!$A$4:$A$53,'Item Master'!$I$4:$I$53,"Supplier")&amp;"," &amp; CHAR(10) &amp; "We urgently need to restock "&amp;$B41&amp;" (SKU "&amp;$A41&amp;"). Our current stock is "&amp;TEXT($E41,"0")&amp;" units, which is below our reorder threshold." &amp; CHAR(10) &amp; "Please confirm availability, unit price and lead time by return." &amp; CHAR(10) &amp; "Kind regards," &amp; CHAR(10) &amp; Settings!$C$8," ","%20"),CHAR(10),"%0D%0A"),"✉️  EMAIL"),""))</f>
        <v/>
      </c>
      <c r="I41" s="36">
        <f>IF($A41="","",$E41*_xlfn.XLOOKUP($A41,'Item Master'!$A$4:$A$53,'Item Master'!$E$4:$E$53,0))</f>
        <v/>
      </c>
    </row>
    <row r="42" ht="32" customHeight="1">
      <c r="A42" s="30">
        <f>IF(INDEX('Item Master'!$A$4:$A$53,33)="","",INDEX('Item Master'!$A$4:$A$53,33))</f>
        <v/>
      </c>
      <c r="B42" s="31">
        <f>IF($A42="","",_xlfn.XLOOKUP($A42,'Item Master'!$A$4:$A$53,'Item Master'!$C$4:$C$53,""))</f>
        <v/>
      </c>
      <c r="C42" s="32">
        <f>IF($A42="","",SUMIFS('Stock In'!$F$8:$F$207,'Stock In'!$I$8:$I$207,$A42,'Stock In'!$D$8:$D$207,"IN"))</f>
        <v/>
      </c>
      <c r="D42" s="32">
        <f>IF($A42="","",SUMIF('Log Sale'!$I$9:$I$308,$A42,'Log Sale'!$K$9:$K$308)+SUMIFS('Stock In'!$F$8:$F$207,'Stock In'!$I$8:$I$207,$A42,'Stock In'!$D$8:$D$207,"SHRINKAGE"))</f>
        <v/>
      </c>
      <c r="E42" s="33">
        <f>IF($A42="","",$C42-$D42)</f>
        <v/>
      </c>
      <c r="F42" s="34">
        <f>IF($A42="","",IF($E42&lt;=_xlfn.XLOOKUP($A42,'Item Master'!$A$4:$A$53,'Item Master'!$G$4:$G$53,0)*0.1,"⚠️ REORDER NOW","✅ IN STOCK"))</f>
        <v/>
      </c>
      <c r="G42" s="35">
        <f>IF($A42="","",IF($F42="⚠️ REORDER NOW",HYPERLINK("https://wa.me/"&amp;SUBSTITUTE(SUBSTITUTE(SUBSTITUTE(SUBSTITUTE(SUBSTITUTE(SUBSTITUTE(_xlfn.XLOOKUP($A42,'Item Master'!$A$4:$A$53,'Item Master'!$J$4:$J$53,""),"+",""),"-","")," ",""),"(",""),")",""),".","")&amp;"?text="&amp;SUBSTITUTE("Hello "&amp;_xlfn.XLOOKUP($A42,'Item Master'!$A$4:$A$53,'Item Master'!$I$4:$I$53,"Supplier")&amp;", we urgently need more "&amp;$B42&amp;". Current stock is only "&amp;TEXT($E42,"0")&amp;" units. Please confirm availability and your fastest lead time. Thank you - Momentum Mind Store."," ","%20"),"💬  ORDER NOW"),""))</f>
        <v/>
      </c>
      <c r="H42" s="35">
        <f>IF($A42="","",IF($F42="⚠️ REORDER NOW",HYPERLINK("mailto:"&amp;_xlfn.XLOOKUP($A42,'Item Master'!$A$4:$A$53,'Item Master'!$K$4:$K$53,"")&amp;"?subject="&amp;SUBSTITUTE("URGENT restock request - "&amp;$B42&amp;" ("&amp;$A42&amp;")"," ","%20")&amp;"&amp;body="&amp;SUBSTITUTE(SUBSTITUTE("Hello "&amp;_xlfn.XLOOKUP($A42,'Item Master'!$A$4:$A$53,'Item Master'!$I$4:$I$53,"Supplier")&amp;"," &amp; CHAR(10) &amp; "We urgently need to restock "&amp;$B42&amp;" (SKU "&amp;$A42&amp;"). Our current stock is "&amp;TEXT($E42,"0")&amp;" units, which is below our reorder threshold." &amp; CHAR(10) &amp; "Please confirm availability, unit price and lead time by return." &amp; CHAR(10) &amp; "Kind regards," &amp; CHAR(10) &amp; Settings!$C$8," ","%20"),CHAR(10),"%0D%0A"),"✉️  EMAIL"),""))</f>
        <v/>
      </c>
      <c r="I42" s="36">
        <f>IF($A42="","",$E42*_xlfn.XLOOKUP($A42,'Item Master'!$A$4:$A$53,'Item Master'!$E$4:$E$53,0))</f>
        <v/>
      </c>
    </row>
    <row r="43" ht="32" customHeight="1">
      <c r="A43" s="30">
        <f>IF(INDEX('Item Master'!$A$4:$A$53,34)="","",INDEX('Item Master'!$A$4:$A$53,34))</f>
        <v/>
      </c>
      <c r="B43" s="31">
        <f>IF($A43="","",_xlfn.XLOOKUP($A43,'Item Master'!$A$4:$A$53,'Item Master'!$C$4:$C$53,""))</f>
        <v/>
      </c>
      <c r="C43" s="32">
        <f>IF($A43="","",SUMIFS('Stock In'!$F$8:$F$207,'Stock In'!$I$8:$I$207,$A43,'Stock In'!$D$8:$D$207,"IN"))</f>
        <v/>
      </c>
      <c r="D43" s="32">
        <f>IF($A43="","",SUMIF('Log Sale'!$I$9:$I$308,$A43,'Log Sale'!$K$9:$K$308)+SUMIFS('Stock In'!$F$8:$F$207,'Stock In'!$I$8:$I$207,$A43,'Stock In'!$D$8:$D$207,"SHRINKAGE"))</f>
        <v/>
      </c>
      <c r="E43" s="33">
        <f>IF($A43="","",$C43-$D43)</f>
        <v/>
      </c>
      <c r="F43" s="34">
        <f>IF($A43="","",IF($E43&lt;=_xlfn.XLOOKUP($A43,'Item Master'!$A$4:$A$53,'Item Master'!$G$4:$G$53,0)*0.1,"⚠️ REORDER NOW","✅ IN STOCK"))</f>
        <v/>
      </c>
      <c r="G43" s="35">
        <f>IF($A43="","",IF($F43="⚠️ REORDER NOW",HYPERLINK("https://wa.me/"&amp;SUBSTITUTE(SUBSTITUTE(SUBSTITUTE(SUBSTITUTE(SUBSTITUTE(SUBSTITUTE(_xlfn.XLOOKUP($A43,'Item Master'!$A$4:$A$53,'Item Master'!$J$4:$J$53,""),"+",""),"-","")," ",""),"(",""),")",""),".","")&amp;"?text="&amp;SUBSTITUTE("Hello "&amp;_xlfn.XLOOKUP($A43,'Item Master'!$A$4:$A$53,'Item Master'!$I$4:$I$53,"Supplier")&amp;", we urgently need more "&amp;$B43&amp;". Current stock is only "&amp;TEXT($E43,"0")&amp;" units. Please confirm availability and your fastest lead time. Thank you - Momentum Mind Store."," ","%20"),"💬  ORDER NOW"),""))</f>
        <v/>
      </c>
      <c r="H43" s="35">
        <f>IF($A43="","",IF($F43="⚠️ REORDER NOW",HYPERLINK("mailto:"&amp;_xlfn.XLOOKUP($A43,'Item Master'!$A$4:$A$53,'Item Master'!$K$4:$K$53,"")&amp;"?subject="&amp;SUBSTITUTE("URGENT restock request - "&amp;$B43&amp;" ("&amp;$A43&amp;")"," ","%20")&amp;"&amp;body="&amp;SUBSTITUTE(SUBSTITUTE("Hello "&amp;_xlfn.XLOOKUP($A43,'Item Master'!$A$4:$A$53,'Item Master'!$I$4:$I$53,"Supplier")&amp;"," &amp; CHAR(10) &amp; "We urgently need to restock "&amp;$B43&amp;" (SKU "&amp;$A43&amp;"). Our current stock is "&amp;TEXT($E43,"0")&amp;" units, which is below our reorder threshold." &amp; CHAR(10) &amp; "Please confirm availability, unit price and lead time by return." &amp; CHAR(10) &amp; "Kind regards," &amp; CHAR(10) &amp; Settings!$C$8," ","%20"),CHAR(10),"%0D%0A"),"✉️  EMAIL"),""))</f>
        <v/>
      </c>
      <c r="I43" s="36">
        <f>IF($A43="","",$E43*_xlfn.XLOOKUP($A43,'Item Master'!$A$4:$A$53,'Item Master'!$E$4:$E$53,0))</f>
        <v/>
      </c>
    </row>
    <row r="44" ht="32" customHeight="1">
      <c r="A44" s="30">
        <f>IF(INDEX('Item Master'!$A$4:$A$53,35)="","",INDEX('Item Master'!$A$4:$A$53,35))</f>
        <v/>
      </c>
      <c r="B44" s="31">
        <f>IF($A44="","",_xlfn.XLOOKUP($A44,'Item Master'!$A$4:$A$53,'Item Master'!$C$4:$C$53,""))</f>
        <v/>
      </c>
      <c r="C44" s="32">
        <f>IF($A44="","",SUMIFS('Stock In'!$F$8:$F$207,'Stock In'!$I$8:$I$207,$A44,'Stock In'!$D$8:$D$207,"IN"))</f>
        <v/>
      </c>
      <c r="D44" s="32">
        <f>IF($A44="","",SUMIF('Log Sale'!$I$9:$I$308,$A44,'Log Sale'!$K$9:$K$308)+SUMIFS('Stock In'!$F$8:$F$207,'Stock In'!$I$8:$I$207,$A44,'Stock In'!$D$8:$D$207,"SHRINKAGE"))</f>
        <v/>
      </c>
      <c r="E44" s="33">
        <f>IF($A44="","",$C44-$D44)</f>
        <v/>
      </c>
      <c r="F44" s="34">
        <f>IF($A44="","",IF($E44&lt;=_xlfn.XLOOKUP($A44,'Item Master'!$A$4:$A$53,'Item Master'!$G$4:$G$53,0)*0.1,"⚠️ REORDER NOW","✅ IN STOCK"))</f>
        <v/>
      </c>
      <c r="G44" s="35">
        <f>IF($A44="","",IF($F44="⚠️ REORDER NOW",HYPERLINK("https://wa.me/"&amp;SUBSTITUTE(SUBSTITUTE(SUBSTITUTE(SUBSTITUTE(SUBSTITUTE(SUBSTITUTE(_xlfn.XLOOKUP($A44,'Item Master'!$A$4:$A$53,'Item Master'!$J$4:$J$53,""),"+",""),"-","")," ",""),"(",""),")",""),".","")&amp;"?text="&amp;SUBSTITUTE("Hello "&amp;_xlfn.XLOOKUP($A44,'Item Master'!$A$4:$A$53,'Item Master'!$I$4:$I$53,"Supplier")&amp;", we urgently need more "&amp;$B44&amp;". Current stock is only "&amp;TEXT($E44,"0")&amp;" units. Please confirm availability and your fastest lead time. Thank you - Momentum Mind Store."," ","%20"),"💬  ORDER NOW"),""))</f>
        <v/>
      </c>
      <c r="H44" s="35">
        <f>IF($A44="","",IF($F44="⚠️ REORDER NOW",HYPERLINK("mailto:"&amp;_xlfn.XLOOKUP($A44,'Item Master'!$A$4:$A$53,'Item Master'!$K$4:$K$53,"")&amp;"?subject="&amp;SUBSTITUTE("URGENT restock request - "&amp;$B44&amp;" ("&amp;$A44&amp;")"," ","%20")&amp;"&amp;body="&amp;SUBSTITUTE(SUBSTITUTE("Hello "&amp;_xlfn.XLOOKUP($A44,'Item Master'!$A$4:$A$53,'Item Master'!$I$4:$I$53,"Supplier")&amp;"," &amp; CHAR(10) &amp; "We urgently need to restock "&amp;$B44&amp;" (SKU "&amp;$A44&amp;"). Our current stock is "&amp;TEXT($E44,"0")&amp;" units, which is below our reorder threshold." &amp; CHAR(10) &amp; "Please confirm availability, unit price and lead time by return." &amp; CHAR(10) &amp; "Kind regards," &amp; CHAR(10) &amp; Settings!$C$8," ","%20"),CHAR(10),"%0D%0A"),"✉️  EMAIL"),""))</f>
        <v/>
      </c>
      <c r="I44" s="36">
        <f>IF($A44="","",$E44*_xlfn.XLOOKUP($A44,'Item Master'!$A$4:$A$53,'Item Master'!$E$4:$E$53,0))</f>
        <v/>
      </c>
    </row>
    <row r="45" ht="32" customHeight="1">
      <c r="A45" s="30">
        <f>IF(INDEX('Item Master'!$A$4:$A$53,36)="","",INDEX('Item Master'!$A$4:$A$53,36))</f>
        <v/>
      </c>
      <c r="B45" s="31">
        <f>IF($A45="","",_xlfn.XLOOKUP($A45,'Item Master'!$A$4:$A$53,'Item Master'!$C$4:$C$53,""))</f>
        <v/>
      </c>
      <c r="C45" s="32">
        <f>IF($A45="","",SUMIFS('Stock In'!$F$8:$F$207,'Stock In'!$I$8:$I$207,$A45,'Stock In'!$D$8:$D$207,"IN"))</f>
        <v/>
      </c>
      <c r="D45" s="32">
        <f>IF($A45="","",SUMIF('Log Sale'!$I$9:$I$308,$A45,'Log Sale'!$K$9:$K$308)+SUMIFS('Stock In'!$F$8:$F$207,'Stock In'!$I$8:$I$207,$A45,'Stock In'!$D$8:$D$207,"SHRINKAGE"))</f>
        <v/>
      </c>
      <c r="E45" s="33">
        <f>IF($A45="","",$C45-$D45)</f>
        <v/>
      </c>
      <c r="F45" s="34">
        <f>IF($A45="","",IF($E45&lt;=_xlfn.XLOOKUP($A45,'Item Master'!$A$4:$A$53,'Item Master'!$G$4:$G$53,0)*0.1,"⚠️ REORDER NOW","✅ IN STOCK"))</f>
        <v/>
      </c>
      <c r="G45" s="35">
        <f>IF($A45="","",IF($F45="⚠️ REORDER NOW",HYPERLINK("https://wa.me/"&amp;SUBSTITUTE(SUBSTITUTE(SUBSTITUTE(SUBSTITUTE(SUBSTITUTE(SUBSTITUTE(_xlfn.XLOOKUP($A45,'Item Master'!$A$4:$A$53,'Item Master'!$J$4:$J$53,""),"+",""),"-","")," ",""),"(",""),")",""),".","")&amp;"?text="&amp;SUBSTITUTE("Hello "&amp;_xlfn.XLOOKUP($A45,'Item Master'!$A$4:$A$53,'Item Master'!$I$4:$I$53,"Supplier")&amp;", we urgently need more "&amp;$B45&amp;". Current stock is only "&amp;TEXT($E45,"0")&amp;" units. Please confirm availability and your fastest lead time. Thank you - Momentum Mind Store."," ","%20"),"💬  ORDER NOW"),""))</f>
        <v/>
      </c>
      <c r="H45" s="35">
        <f>IF($A45="","",IF($F45="⚠️ REORDER NOW",HYPERLINK("mailto:"&amp;_xlfn.XLOOKUP($A45,'Item Master'!$A$4:$A$53,'Item Master'!$K$4:$K$53,"")&amp;"?subject="&amp;SUBSTITUTE("URGENT restock request - "&amp;$B45&amp;" ("&amp;$A45&amp;")"," ","%20")&amp;"&amp;body="&amp;SUBSTITUTE(SUBSTITUTE("Hello "&amp;_xlfn.XLOOKUP($A45,'Item Master'!$A$4:$A$53,'Item Master'!$I$4:$I$53,"Supplier")&amp;"," &amp; CHAR(10) &amp; "We urgently need to restock "&amp;$B45&amp;" (SKU "&amp;$A45&amp;"). Our current stock is "&amp;TEXT($E45,"0")&amp;" units, which is below our reorder threshold." &amp; CHAR(10) &amp; "Please confirm availability, unit price and lead time by return." &amp; CHAR(10) &amp; "Kind regards," &amp; CHAR(10) &amp; Settings!$C$8," ","%20"),CHAR(10),"%0D%0A"),"✉️  EMAIL"),""))</f>
        <v/>
      </c>
      <c r="I45" s="36">
        <f>IF($A45="","",$E45*_xlfn.XLOOKUP($A45,'Item Master'!$A$4:$A$53,'Item Master'!$E$4:$E$53,0))</f>
        <v/>
      </c>
    </row>
    <row r="46" ht="32" customHeight="1">
      <c r="A46" s="30">
        <f>IF(INDEX('Item Master'!$A$4:$A$53,37)="","",INDEX('Item Master'!$A$4:$A$53,37))</f>
        <v/>
      </c>
      <c r="B46" s="31">
        <f>IF($A46="","",_xlfn.XLOOKUP($A46,'Item Master'!$A$4:$A$53,'Item Master'!$C$4:$C$53,""))</f>
        <v/>
      </c>
      <c r="C46" s="32">
        <f>IF($A46="","",SUMIFS('Stock In'!$F$8:$F$207,'Stock In'!$I$8:$I$207,$A46,'Stock In'!$D$8:$D$207,"IN"))</f>
        <v/>
      </c>
      <c r="D46" s="32">
        <f>IF($A46="","",SUMIF('Log Sale'!$I$9:$I$308,$A46,'Log Sale'!$K$9:$K$308)+SUMIFS('Stock In'!$F$8:$F$207,'Stock In'!$I$8:$I$207,$A46,'Stock In'!$D$8:$D$207,"SHRINKAGE"))</f>
        <v/>
      </c>
      <c r="E46" s="33">
        <f>IF($A46="","",$C46-$D46)</f>
        <v/>
      </c>
      <c r="F46" s="34">
        <f>IF($A46="","",IF($E46&lt;=_xlfn.XLOOKUP($A46,'Item Master'!$A$4:$A$53,'Item Master'!$G$4:$G$53,0)*0.1,"⚠️ REORDER NOW","✅ IN STOCK"))</f>
        <v/>
      </c>
      <c r="G46" s="35">
        <f>IF($A46="","",IF($F46="⚠️ REORDER NOW",HYPERLINK("https://wa.me/"&amp;SUBSTITUTE(SUBSTITUTE(SUBSTITUTE(SUBSTITUTE(SUBSTITUTE(SUBSTITUTE(_xlfn.XLOOKUP($A46,'Item Master'!$A$4:$A$53,'Item Master'!$J$4:$J$53,""),"+",""),"-","")," ",""),"(",""),")",""),".","")&amp;"?text="&amp;SUBSTITUTE("Hello "&amp;_xlfn.XLOOKUP($A46,'Item Master'!$A$4:$A$53,'Item Master'!$I$4:$I$53,"Supplier")&amp;", we urgently need more "&amp;$B46&amp;". Current stock is only "&amp;TEXT($E46,"0")&amp;" units. Please confirm availability and your fastest lead time. Thank you - Momentum Mind Store."," ","%20"),"💬  ORDER NOW"),""))</f>
        <v/>
      </c>
      <c r="H46" s="35">
        <f>IF($A46="","",IF($F46="⚠️ REORDER NOW",HYPERLINK("mailto:"&amp;_xlfn.XLOOKUP($A46,'Item Master'!$A$4:$A$53,'Item Master'!$K$4:$K$53,"")&amp;"?subject="&amp;SUBSTITUTE("URGENT restock request - "&amp;$B46&amp;" ("&amp;$A46&amp;")"," ","%20")&amp;"&amp;body="&amp;SUBSTITUTE(SUBSTITUTE("Hello "&amp;_xlfn.XLOOKUP($A46,'Item Master'!$A$4:$A$53,'Item Master'!$I$4:$I$53,"Supplier")&amp;"," &amp; CHAR(10) &amp; "We urgently need to restock "&amp;$B46&amp;" (SKU "&amp;$A46&amp;"). Our current stock is "&amp;TEXT($E46,"0")&amp;" units, which is below our reorder threshold." &amp; CHAR(10) &amp; "Please confirm availability, unit price and lead time by return." &amp; CHAR(10) &amp; "Kind regards," &amp; CHAR(10) &amp; Settings!$C$8," ","%20"),CHAR(10),"%0D%0A"),"✉️  EMAIL"),""))</f>
        <v/>
      </c>
      <c r="I46" s="36">
        <f>IF($A46="","",$E46*_xlfn.XLOOKUP($A46,'Item Master'!$A$4:$A$53,'Item Master'!$E$4:$E$53,0))</f>
        <v/>
      </c>
    </row>
    <row r="47" ht="32" customHeight="1">
      <c r="A47" s="30">
        <f>IF(INDEX('Item Master'!$A$4:$A$53,38)="","",INDEX('Item Master'!$A$4:$A$53,38))</f>
        <v/>
      </c>
      <c r="B47" s="31">
        <f>IF($A47="","",_xlfn.XLOOKUP($A47,'Item Master'!$A$4:$A$53,'Item Master'!$C$4:$C$53,""))</f>
        <v/>
      </c>
      <c r="C47" s="32">
        <f>IF($A47="","",SUMIFS('Stock In'!$F$8:$F$207,'Stock In'!$I$8:$I$207,$A47,'Stock In'!$D$8:$D$207,"IN"))</f>
        <v/>
      </c>
      <c r="D47" s="32">
        <f>IF($A47="","",SUMIF('Log Sale'!$I$9:$I$308,$A47,'Log Sale'!$K$9:$K$308)+SUMIFS('Stock In'!$F$8:$F$207,'Stock In'!$I$8:$I$207,$A47,'Stock In'!$D$8:$D$207,"SHRINKAGE"))</f>
        <v/>
      </c>
      <c r="E47" s="33">
        <f>IF($A47="","",$C47-$D47)</f>
        <v/>
      </c>
      <c r="F47" s="34">
        <f>IF($A47="","",IF($E47&lt;=_xlfn.XLOOKUP($A47,'Item Master'!$A$4:$A$53,'Item Master'!$G$4:$G$53,0)*0.1,"⚠️ REORDER NOW","✅ IN STOCK"))</f>
        <v/>
      </c>
      <c r="G47" s="35">
        <f>IF($A47="","",IF($F47="⚠️ REORDER NOW",HYPERLINK("https://wa.me/"&amp;SUBSTITUTE(SUBSTITUTE(SUBSTITUTE(SUBSTITUTE(SUBSTITUTE(SUBSTITUTE(_xlfn.XLOOKUP($A47,'Item Master'!$A$4:$A$53,'Item Master'!$J$4:$J$53,""),"+",""),"-","")," ",""),"(",""),")",""),".","")&amp;"?text="&amp;SUBSTITUTE("Hello "&amp;_xlfn.XLOOKUP($A47,'Item Master'!$A$4:$A$53,'Item Master'!$I$4:$I$53,"Supplier")&amp;", we urgently need more "&amp;$B47&amp;". Current stock is only "&amp;TEXT($E47,"0")&amp;" units. Please confirm availability and your fastest lead time. Thank you - Momentum Mind Store."," ","%20"),"💬  ORDER NOW"),""))</f>
        <v/>
      </c>
      <c r="H47" s="35">
        <f>IF($A47="","",IF($F47="⚠️ REORDER NOW",HYPERLINK("mailto:"&amp;_xlfn.XLOOKUP($A47,'Item Master'!$A$4:$A$53,'Item Master'!$K$4:$K$53,"")&amp;"?subject="&amp;SUBSTITUTE("URGENT restock request - "&amp;$B47&amp;" ("&amp;$A47&amp;")"," ","%20")&amp;"&amp;body="&amp;SUBSTITUTE(SUBSTITUTE("Hello "&amp;_xlfn.XLOOKUP($A47,'Item Master'!$A$4:$A$53,'Item Master'!$I$4:$I$53,"Supplier")&amp;"," &amp; CHAR(10) &amp; "We urgently need to restock "&amp;$B47&amp;" (SKU "&amp;$A47&amp;"). Our current stock is "&amp;TEXT($E47,"0")&amp;" units, which is below our reorder threshold." &amp; CHAR(10) &amp; "Please confirm availability, unit price and lead time by return." &amp; CHAR(10) &amp; "Kind regards," &amp; CHAR(10) &amp; Settings!$C$8," ","%20"),CHAR(10),"%0D%0A"),"✉️  EMAIL"),""))</f>
        <v/>
      </c>
      <c r="I47" s="36">
        <f>IF($A47="","",$E47*_xlfn.XLOOKUP($A47,'Item Master'!$A$4:$A$53,'Item Master'!$E$4:$E$53,0))</f>
        <v/>
      </c>
    </row>
    <row r="48" ht="32" customHeight="1">
      <c r="A48" s="30">
        <f>IF(INDEX('Item Master'!$A$4:$A$53,39)="","",INDEX('Item Master'!$A$4:$A$53,39))</f>
        <v/>
      </c>
      <c r="B48" s="31">
        <f>IF($A48="","",_xlfn.XLOOKUP($A48,'Item Master'!$A$4:$A$53,'Item Master'!$C$4:$C$53,""))</f>
        <v/>
      </c>
      <c r="C48" s="32">
        <f>IF($A48="","",SUMIFS('Stock In'!$F$8:$F$207,'Stock In'!$I$8:$I$207,$A48,'Stock In'!$D$8:$D$207,"IN"))</f>
        <v/>
      </c>
      <c r="D48" s="32">
        <f>IF($A48="","",SUMIF('Log Sale'!$I$9:$I$308,$A48,'Log Sale'!$K$9:$K$308)+SUMIFS('Stock In'!$F$8:$F$207,'Stock In'!$I$8:$I$207,$A48,'Stock In'!$D$8:$D$207,"SHRINKAGE"))</f>
        <v/>
      </c>
      <c r="E48" s="33">
        <f>IF($A48="","",$C48-$D48)</f>
        <v/>
      </c>
      <c r="F48" s="34">
        <f>IF($A48="","",IF($E48&lt;=_xlfn.XLOOKUP($A48,'Item Master'!$A$4:$A$53,'Item Master'!$G$4:$G$53,0)*0.1,"⚠️ REORDER NOW","✅ IN STOCK"))</f>
        <v/>
      </c>
      <c r="G48" s="35">
        <f>IF($A48="","",IF($F48="⚠️ REORDER NOW",HYPERLINK("https://wa.me/"&amp;SUBSTITUTE(SUBSTITUTE(SUBSTITUTE(SUBSTITUTE(SUBSTITUTE(SUBSTITUTE(_xlfn.XLOOKUP($A48,'Item Master'!$A$4:$A$53,'Item Master'!$J$4:$J$53,""),"+",""),"-","")," ",""),"(",""),")",""),".","")&amp;"?text="&amp;SUBSTITUTE("Hello "&amp;_xlfn.XLOOKUP($A48,'Item Master'!$A$4:$A$53,'Item Master'!$I$4:$I$53,"Supplier")&amp;", we urgently need more "&amp;$B48&amp;". Current stock is only "&amp;TEXT($E48,"0")&amp;" units. Please confirm availability and your fastest lead time. Thank you - Momentum Mind Store."," ","%20"),"💬  ORDER NOW"),""))</f>
        <v/>
      </c>
      <c r="H48" s="35">
        <f>IF($A48="","",IF($F48="⚠️ REORDER NOW",HYPERLINK("mailto:"&amp;_xlfn.XLOOKUP($A48,'Item Master'!$A$4:$A$53,'Item Master'!$K$4:$K$53,"")&amp;"?subject="&amp;SUBSTITUTE("URGENT restock request - "&amp;$B48&amp;" ("&amp;$A48&amp;")"," ","%20")&amp;"&amp;body="&amp;SUBSTITUTE(SUBSTITUTE("Hello "&amp;_xlfn.XLOOKUP($A48,'Item Master'!$A$4:$A$53,'Item Master'!$I$4:$I$53,"Supplier")&amp;"," &amp; CHAR(10) &amp; "We urgently need to restock "&amp;$B48&amp;" (SKU "&amp;$A48&amp;"). Our current stock is "&amp;TEXT($E48,"0")&amp;" units, which is below our reorder threshold." &amp; CHAR(10) &amp; "Please confirm availability, unit price and lead time by return." &amp; CHAR(10) &amp; "Kind regards," &amp; CHAR(10) &amp; Settings!$C$8," ","%20"),CHAR(10),"%0D%0A"),"✉️  EMAIL"),""))</f>
        <v/>
      </c>
      <c r="I48" s="36">
        <f>IF($A48="","",$E48*_xlfn.XLOOKUP($A48,'Item Master'!$A$4:$A$53,'Item Master'!$E$4:$E$53,0))</f>
        <v/>
      </c>
    </row>
    <row r="49" ht="32" customHeight="1">
      <c r="A49" s="30">
        <f>IF(INDEX('Item Master'!$A$4:$A$53,40)="","",INDEX('Item Master'!$A$4:$A$53,40))</f>
        <v/>
      </c>
      <c r="B49" s="31">
        <f>IF($A49="","",_xlfn.XLOOKUP($A49,'Item Master'!$A$4:$A$53,'Item Master'!$C$4:$C$53,""))</f>
        <v/>
      </c>
      <c r="C49" s="32">
        <f>IF($A49="","",SUMIFS('Stock In'!$F$8:$F$207,'Stock In'!$I$8:$I$207,$A49,'Stock In'!$D$8:$D$207,"IN"))</f>
        <v/>
      </c>
      <c r="D49" s="32">
        <f>IF($A49="","",SUMIF('Log Sale'!$I$9:$I$308,$A49,'Log Sale'!$K$9:$K$308)+SUMIFS('Stock In'!$F$8:$F$207,'Stock In'!$I$8:$I$207,$A49,'Stock In'!$D$8:$D$207,"SHRINKAGE"))</f>
        <v/>
      </c>
      <c r="E49" s="33">
        <f>IF($A49="","",$C49-$D49)</f>
        <v/>
      </c>
      <c r="F49" s="34">
        <f>IF($A49="","",IF($E49&lt;=_xlfn.XLOOKUP($A49,'Item Master'!$A$4:$A$53,'Item Master'!$G$4:$G$53,0)*0.1,"⚠️ REORDER NOW","✅ IN STOCK"))</f>
        <v/>
      </c>
      <c r="G49" s="35">
        <f>IF($A49="","",IF($F49="⚠️ REORDER NOW",HYPERLINK("https://wa.me/"&amp;SUBSTITUTE(SUBSTITUTE(SUBSTITUTE(SUBSTITUTE(SUBSTITUTE(SUBSTITUTE(_xlfn.XLOOKUP($A49,'Item Master'!$A$4:$A$53,'Item Master'!$J$4:$J$53,""),"+",""),"-","")," ",""),"(",""),")",""),".","")&amp;"?text="&amp;SUBSTITUTE("Hello "&amp;_xlfn.XLOOKUP($A49,'Item Master'!$A$4:$A$53,'Item Master'!$I$4:$I$53,"Supplier")&amp;", we urgently need more "&amp;$B49&amp;". Current stock is only "&amp;TEXT($E49,"0")&amp;" units. Please confirm availability and your fastest lead time. Thank you - Momentum Mind Store."," ","%20"),"💬  ORDER NOW"),""))</f>
        <v/>
      </c>
      <c r="H49" s="35">
        <f>IF($A49="","",IF($F49="⚠️ REORDER NOW",HYPERLINK("mailto:"&amp;_xlfn.XLOOKUP($A49,'Item Master'!$A$4:$A$53,'Item Master'!$K$4:$K$53,"")&amp;"?subject="&amp;SUBSTITUTE("URGENT restock request - "&amp;$B49&amp;" ("&amp;$A49&amp;")"," ","%20")&amp;"&amp;body="&amp;SUBSTITUTE(SUBSTITUTE("Hello "&amp;_xlfn.XLOOKUP($A49,'Item Master'!$A$4:$A$53,'Item Master'!$I$4:$I$53,"Supplier")&amp;"," &amp; CHAR(10) &amp; "We urgently need to restock "&amp;$B49&amp;" (SKU "&amp;$A49&amp;"). Our current stock is "&amp;TEXT($E49,"0")&amp;" units, which is below our reorder threshold." &amp; CHAR(10) &amp; "Please confirm availability, unit price and lead time by return." &amp; CHAR(10) &amp; "Kind regards," &amp; CHAR(10) &amp; Settings!$C$8," ","%20"),CHAR(10),"%0D%0A"),"✉️  EMAIL"),""))</f>
        <v/>
      </c>
      <c r="I49" s="36">
        <f>IF($A49="","",$E49*_xlfn.XLOOKUP($A49,'Item Master'!$A$4:$A$53,'Item Master'!$E$4:$E$53,0))</f>
        <v/>
      </c>
    </row>
    <row r="50" ht="32" customHeight="1">
      <c r="A50" s="30">
        <f>IF(INDEX('Item Master'!$A$4:$A$53,41)="","",INDEX('Item Master'!$A$4:$A$53,41))</f>
        <v/>
      </c>
      <c r="B50" s="31">
        <f>IF($A50="","",_xlfn.XLOOKUP($A50,'Item Master'!$A$4:$A$53,'Item Master'!$C$4:$C$53,""))</f>
        <v/>
      </c>
      <c r="C50" s="32">
        <f>IF($A50="","",SUMIFS('Stock In'!$F$8:$F$207,'Stock In'!$I$8:$I$207,$A50,'Stock In'!$D$8:$D$207,"IN"))</f>
        <v/>
      </c>
      <c r="D50" s="32">
        <f>IF($A50="","",SUMIF('Log Sale'!$I$9:$I$308,$A50,'Log Sale'!$K$9:$K$308)+SUMIFS('Stock In'!$F$8:$F$207,'Stock In'!$I$8:$I$207,$A50,'Stock In'!$D$8:$D$207,"SHRINKAGE"))</f>
        <v/>
      </c>
      <c r="E50" s="33">
        <f>IF($A50="","",$C50-$D50)</f>
        <v/>
      </c>
      <c r="F50" s="34">
        <f>IF($A50="","",IF($E50&lt;=_xlfn.XLOOKUP($A50,'Item Master'!$A$4:$A$53,'Item Master'!$G$4:$G$53,0)*0.1,"⚠️ REORDER NOW","✅ IN STOCK"))</f>
        <v/>
      </c>
      <c r="G50" s="35">
        <f>IF($A50="","",IF($F50="⚠️ REORDER NOW",HYPERLINK("https://wa.me/"&amp;SUBSTITUTE(SUBSTITUTE(SUBSTITUTE(SUBSTITUTE(SUBSTITUTE(SUBSTITUTE(_xlfn.XLOOKUP($A50,'Item Master'!$A$4:$A$53,'Item Master'!$J$4:$J$53,""),"+",""),"-","")," ",""),"(",""),")",""),".","")&amp;"?text="&amp;SUBSTITUTE("Hello "&amp;_xlfn.XLOOKUP($A50,'Item Master'!$A$4:$A$53,'Item Master'!$I$4:$I$53,"Supplier")&amp;", we urgently need more "&amp;$B50&amp;". Current stock is only "&amp;TEXT($E50,"0")&amp;" units. Please confirm availability and your fastest lead time. Thank you - Momentum Mind Store."," ","%20"),"💬  ORDER NOW"),""))</f>
        <v/>
      </c>
      <c r="H50" s="35">
        <f>IF($A50="","",IF($F50="⚠️ REORDER NOW",HYPERLINK("mailto:"&amp;_xlfn.XLOOKUP($A50,'Item Master'!$A$4:$A$53,'Item Master'!$K$4:$K$53,"")&amp;"?subject="&amp;SUBSTITUTE("URGENT restock request - "&amp;$B50&amp;" ("&amp;$A50&amp;")"," ","%20")&amp;"&amp;body="&amp;SUBSTITUTE(SUBSTITUTE("Hello "&amp;_xlfn.XLOOKUP($A50,'Item Master'!$A$4:$A$53,'Item Master'!$I$4:$I$53,"Supplier")&amp;"," &amp; CHAR(10) &amp; "We urgently need to restock "&amp;$B50&amp;" (SKU "&amp;$A50&amp;"). Our current stock is "&amp;TEXT($E50,"0")&amp;" units, which is below our reorder threshold." &amp; CHAR(10) &amp; "Please confirm availability, unit price and lead time by return." &amp; CHAR(10) &amp; "Kind regards," &amp; CHAR(10) &amp; Settings!$C$8," ","%20"),CHAR(10),"%0D%0A"),"✉️  EMAIL"),""))</f>
        <v/>
      </c>
      <c r="I50" s="36">
        <f>IF($A50="","",$E50*_xlfn.XLOOKUP($A50,'Item Master'!$A$4:$A$53,'Item Master'!$E$4:$E$53,0))</f>
        <v/>
      </c>
    </row>
    <row r="51" ht="32" customHeight="1">
      <c r="A51" s="30">
        <f>IF(INDEX('Item Master'!$A$4:$A$53,42)="","",INDEX('Item Master'!$A$4:$A$53,42))</f>
        <v/>
      </c>
      <c r="B51" s="31">
        <f>IF($A51="","",_xlfn.XLOOKUP($A51,'Item Master'!$A$4:$A$53,'Item Master'!$C$4:$C$53,""))</f>
        <v/>
      </c>
      <c r="C51" s="32">
        <f>IF($A51="","",SUMIFS('Stock In'!$F$8:$F$207,'Stock In'!$I$8:$I$207,$A51,'Stock In'!$D$8:$D$207,"IN"))</f>
        <v/>
      </c>
      <c r="D51" s="32">
        <f>IF($A51="","",SUMIF('Log Sale'!$I$9:$I$308,$A51,'Log Sale'!$K$9:$K$308)+SUMIFS('Stock In'!$F$8:$F$207,'Stock In'!$I$8:$I$207,$A51,'Stock In'!$D$8:$D$207,"SHRINKAGE"))</f>
        <v/>
      </c>
      <c r="E51" s="33">
        <f>IF($A51="","",$C51-$D51)</f>
        <v/>
      </c>
      <c r="F51" s="34">
        <f>IF($A51="","",IF($E51&lt;=_xlfn.XLOOKUP($A51,'Item Master'!$A$4:$A$53,'Item Master'!$G$4:$G$53,0)*0.1,"⚠️ REORDER NOW","✅ IN STOCK"))</f>
        <v/>
      </c>
      <c r="G51" s="35">
        <f>IF($A51="","",IF($F51="⚠️ REORDER NOW",HYPERLINK("https://wa.me/"&amp;SUBSTITUTE(SUBSTITUTE(SUBSTITUTE(SUBSTITUTE(SUBSTITUTE(SUBSTITUTE(_xlfn.XLOOKUP($A51,'Item Master'!$A$4:$A$53,'Item Master'!$J$4:$J$53,""),"+",""),"-","")," ",""),"(",""),")",""),".","")&amp;"?text="&amp;SUBSTITUTE("Hello "&amp;_xlfn.XLOOKUP($A51,'Item Master'!$A$4:$A$53,'Item Master'!$I$4:$I$53,"Supplier")&amp;", we urgently need more "&amp;$B51&amp;". Current stock is only "&amp;TEXT($E51,"0")&amp;" units. Please confirm availability and your fastest lead time. Thank you - Momentum Mind Store."," ","%20"),"💬  ORDER NOW"),""))</f>
        <v/>
      </c>
      <c r="H51" s="35">
        <f>IF($A51="","",IF($F51="⚠️ REORDER NOW",HYPERLINK("mailto:"&amp;_xlfn.XLOOKUP($A51,'Item Master'!$A$4:$A$53,'Item Master'!$K$4:$K$53,"")&amp;"?subject="&amp;SUBSTITUTE("URGENT restock request - "&amp;$B51&amp;" ("&amp;$A51&amp;")"," ","%20")&amp;"&amp;body="&amp;SUBSTITUTE(SUBSTITUTE("Hello "&amp;_xlfn.XLOOKUP($A51,'Item Master'!$A$4:$A$53,'Item Master'!$I$4:$I$53,"Supplier")&amp;"," &amp; CHAR(10) &amp; "We urgently need to restock "&amp;$B51&amp;" (SKU "&amp;$A51&amp;"). Our current stock is "&amp;TEXT($E51,"0")&amp;" units, which is below our reorder threshold." &amp; CHAR(10) &amp; "Please confirm availability, unit price and lead time by return." &amp; CHAR(10) &amp; "Kind regards," &amp; CHAR(10) &amp; Settings!$C$8," ","%20"),CHAR(10),"%0D%0A"),"✉️  EMAIL"),""))</f>
        <v/>
      </c>
      <c r="I51" s="36">
        <f>IF($A51="","",$E51*_xlfn.XLOOKUP($A51,'Item Master'!$A$4:$A$53,'Item Master'!$E$4:$E$53,0))</f>
        <v/>
      </c>
    </row>
    <row r="52" ht="32" customHeight="1">
      <c r="A52" s="30">
        <f>IF(INDEX('Item Master'!$A$4:$A$53,43)="","",INDEX('Item Master'!$A$4:$A$53,43))</f>
        <v/>
      </c>
      <c r="B52" s="31">
        <f>IF($A52="","",_xlfn.XLOOKUP($A52,'Item Master'!$A$4:$A$53,'Item Master'!$C$4:$C$53,""))</f>
        <v/>
      </c>
      <c r="C52" s="32">
        <f>IF($A52="","",SUMIFS('Stock In'!$F$8:$F$207,'Stock In'!$I$8:$I$207,$A52,'Stock In'!$D$8:$D$207,"IN"))</f>
        <v/>
      </c>
      <c r="D52" s="32">
        <f>IF($A52="","",SUMIF('Log Sale'!$I$9:$I$308,$A52,'Log Sale'!$K$9:$K$308)+SUMIFS('Stock In'!$F$8:$F$207,'Stock In'!$I$8:$I$207,$A52,'Stock In'!$D$8:$D$207,"SHRINKAGE"))</f>
        <v/>
      </c>
      <c r="E52" s="33">
        <f>IF($A52="","",$C52-$D52)</f>
        <v/>
      </c>
      <c r="F52" s="34">
        <f>IF($A52="","",IF($E52&lt;=_xlfn.XLOOKUP($A52,'Item Master'!$A$4:$A$53,'Item Master'!$G$4:$G$53,0)*0.1,"⚠️ REORDER NOW","✅ IN STOCK"))</f>
        <v/>
      </c>
      <c r="G52" s="35">
        <f>IF($A52="","",IF($F52="⚠️ REORDER NOW",HYPERLINK("https://wa.me/"&amp;SUBSTITUTE(SUBSTITUTE(SUBSTITUTE(SUBSTITUTE(SUBSTITUTE(SUBSTITUTE(_xlfn.XLOOKUP($A52,'Item Master'!$A$4:$A$53,'Item Master'!$J$4:$J$53,""),"+",""),"-","")," ",""),"(",""),")",""),".","")&amp;"?text="&amp;SUBSTITUTE("Hello "&amp;_xlfn.XLOOKUP($A52,'Item Master'!$A$4:$A$53,'Item Master'!$I$4:$I$53,"Supplier")&amp;", we urgently need more "&amp;$B52&amp;". Current stock is only "&amp;TEXT($E52,"0")&amp;" units. Please confirm availability and your fastest lead time. Thank you - Momentum Mind Store."," ","%20"),"💬  ORDER NOW"),""))</f>
        <v/>
      </c>
      <c r="H52" s="35">
        <f>IF($A52="","",IF($F52="⚠️ REORDER NOW",HYPERLINK("mailto:"&amp;_xlfn.XLOOKUP($A52,'Item Master'!$A$4:$A$53,'Item Master'!$K$4:$K$53,"")&amp;"?subject="&amp;SUBSTITUTE("URGENT restock request - "&amp;$B52&amp;" ("&amp;$A52&amp;")"," ","%20")&amp;"&amp;body="&amp;SUBSTITUTE(SUBSTITUTE("Hello "&amp;_xlfn.XLOOKUP($A52,'Item Master'!$A$4:$A$53,'Item Master'!$I$4:$I$53,"Supplier")&amp;"," &amp; CHAR(10) &amp; "We urgently need to restock "&amp;$B52&amp;" (SKU "&amp;$A52&amp;"). Our current stock is "&amp;TEXT($E52,"0")&amp;" units, which is below our reorder threshold." &amp; CHAR(10) &amp; "Please confirm availability, unit price and lead time by return." &amp; CHAR(10) &amp; "Kind regards," &amp; CHAR(10) &amp; Settings!$C$8," ","%20"),CHAR(10),"%0D%0A"),"✉️  EMAIL"),""))</f>
        <v/>
      </c>
      <c r="I52" s="36">
        <f>IF($A52="","",$E52*_xlfn.XLOOKUP($A52,'Item Master'!$A$4:$A$53,'Item Master'!$E$4:$E$53,0))</f>
        <v/>
      </c>
    </row>
    <row r="53" ht="32" customHeight="1">
      <c r="A53" s="30">
        <f>IF(INDEX('Item Master'!$A$4:$A$53,44)="","",INDEX('Item Master'!$A$4:$A$53,44))</f>
        <v/>
      </c>
      <c r="B53" s="31">
        <f>IF($A53="","",_xlfn.XLOOKUP($A53,'Item Master'!$A$4:$A$53,'Item Master'!$C$4:$C$53,""))</f>
        <v/>
      </c>
      <c r="C53" s="32">
        <f>IF($A53="","",SUMIFS('Stock In'!$F$8:$F$207,'Stock In'!$I$8:$I$207,$A53,'Stock In'!$D$8:$D$207,"IN"))</f>
        <v/>
      </c>
      <c r="D53" s="32">
        <f>IF($A53="","",SUMIF('Log Sale'!$I$9:$I$308,$A53,'Log Sale'!$K$9:$K$308)+SUMIFS('Stock In'!$F$8:$F$207,'Stock In'!$I$8:$I$207,$A53,'Stock In'!$D$8:$D$207,"SHRINKAGE"))</f>
        <v/>
      </c>
      <c r="E53" s="33">
        <f>IF($A53="","",$C53-$D53)</f>
        <v/>
      </c>
      <c r="F53" s="34">
        <f>IF($A53="","",IF($E53&lt;=_xlfn.XLOOKUP($A53,'Item Master'!$A$4:$A$53,'Item Master'!$G$4:$G$53,0)*0.1,"⚠️ REORDER NOW","✅ IN STOCK"))</f>
        <v/>
      </c>
      <c r="G53" s="35">
        <f>IF($A53="","",IF($F53="⚠️ REORDER NOW",HYPERLINK("https://wa.me/"&amp;SUBSTITUTE(SUBSTITUTE(SUBSTITUTE(SUBSTITUTE(SUBSTITUTE(SUBSTITUTE(_xlfn.XLOOKUP($A53,'Item Master'!$A$4:$A$53,'Item Master'!$J$4:$J$53,""),"+",""),"-","")," ",""),"(",""),")",""),".","")&amp;"?text="&amp;SUBSTITUTE("Hello "&amp;_xlfn.XLOOKUP($A53,'Item Master'!$A$4:$A$53,'Item Master'!$I$4:$I$53,"Supplier")&amp;", we urgently need more "&amp;$B53&amp;". Current stock is only "&amp;TEXT($E53,"0")&amp;" units. Please confirm availability and your fastest lead time. Thank you - Momentum Mind Store."," ","%20"),"💬  ORDER NOW"),""))</f>
        <v/>
      </c>
      <c r="H53" s="35">
        <f>IF($A53="","",IF($F53="⚠️ REORDER NOW",HYPERLINK("mailto:"&amp;_xlfn.XLOOKUP($A53,'Item Master'!$A$4:$A$53,'Item Master'!$K$4:$K$53,"")&amp;"?subject="&amp;SUBSTITUTE("URGENT restock request - "&amp;$B53&amp;" ("&amp;$A53&amp;")"," ","%20")&amp;"&amp;body="&amp;SUBSTITUTE(SUBSTITUTE("Hello "&amp;_xlfn.XLOOKUP($A53,'Item Master'!$A$4:$A$53,'Item Master'!$I$4:$I$53,"Supplier")&amp;"," &amp; CHAR(10) &amp; "We urgently need to restock "&amp;$B53&amp;" (SKU "&amp;$A53&amp;"). Our current stock is "&amp;TEXT($E53,"0")&amp;" units, which is below our reorder threshold." &amp; CHAR(10) &amp; "Please confirm availability, unit price and lead time by return." &amp; CHAR(10) &amp; "Kind regards," &amp; CHAR(10) &amp; Settings!$C$8," ","%20"),CHAR(10),"%0D%0A"),"✉️  EMAIL"),""))</f>
        <v/>
      </c>
      <c r="I53" s="36">
        <f>IF($A53="","",$E53*_xlfn.XLOOKUP($A53,'Item Master'!$A$4:$A$53,'Item Master'!$E$4:$E$53,0))</f>
        <v/>
      </c>
    </row>
    <row r="54" ht="32" customHeight="1">
      <c r="A54" s="30">
        <f>IF(INDEX('Item Master'!$A$4:$A$53,45)="","",INDEX('Item Master'!$A$4:$A$53,45))</f>
        <v/>
      </c>
      <c r="B54" s="31">
        <f>IF($A54="","",_xlfn.XLOOKUP($A54,'Item Master'!$A$4:$A$53,'Item Master'!$C$4:$C$53,""))</f>
        <v/>
      </c>
      <c r="C54" s="32">
        <f>IF($A54="","",SUMIFS('Stock In'!$F$8:$F$207,'Stock In'!$I$8:$I$207,$A54,'Stock In'!$D$8:$D$207,"IN"))</f>
        <v/>
      </c>
      <c r="D54" s="32">
        <f>IF($A54="","",SUMIF('Log Sale'!$I$9:$I$308,$A54,'Log Sale'!$K$9:$K$308)+SUMIFS('Stock In'!$F$8:$F$207,'Stock In'!$I$8:$I$207,$A54,'Stock In'!$D$8:$D$207,"SHRINKAGE"))</f>
        <v/>
      </c>
      <c r="E54" s="33">
        <f>IF($A54="","",$C54-$D54)</f>
        <v/>
      </c>
      <c r="F54" s="34">
        <f>IF($A54="","",IF($E54&lt;=_xlfn.XLOOKUP($A54,'Item Master'!$A$4:$A$53,'Item Master'!$G$4:$G$53,0)*0.1,"⚠️ REORDER NOW","✅ IN STOCK"))</f>
        <v/>
      </c>
      <c r="G54" s="35">
        <f>IF($A54="","",IF($F54="⚠️ REORDER NOW",HYPERLINK("https://wa.me/"&amp;SUBSTITUTE(SUBSTITUTE(SUBSTITUTE(SUBSTITUTE(SUBSTITUTE(SUBSTITUTE(_xlfn.XLOOKUP($A54,'Item Master'!$A$4:$A$53,'Item Master'!$J$4:$J$53,""),"+",""),"-","")," ",""),"(",""),")",""),".","")&amp;"?text="&amp;SUBSTITUTE("Hello "&amp;_xlfn.XLOOKUP($A54,'Item Master'!$A$4:$A$53,'Item Master'!$I$4:$I$53,"Supplier")&amp;", we urgently need more "&amp;$B54&amp;". Current stock is only "&amp;TEXT($E54,"0")&amp;" units. Please confirm availability and your fastest lead time. Thank you - Momentum Mind Store."," ","%20"),"💬  ORDER NOW"),""))</f>
        <v/>
      </c>
      <c r="H54" s="35">
        <f>IF($A54="","",IF($F54="⚠️ REORDER NOW",HYPERLINK("mailto:"&amp;_xlfn.XLOOKUP($A54,'Item Master'!$A$4:$A$53,'Item Master'!$K$4:$K$53,"")&amp;"?subject="&amp;SUBSTITUTE("URGENT restock request - "&amp;$B54&amp;" ("&amp;$A54&amp;")"," ","%20")&amp;"&amp;body="&amp;SUBSTITUTE(SUBSTITUTE("Hello "&amp;_xlfn.XLOOKUP($A54,'Item Master'!$A$4:$A$53,'Item Master'!$I$4:$I$53,"Supplier")&amp;"," &amp; CHAR(10) &amp; "We urgently need to restock "&amp;$B54&amp;" (SKU "&amp;$A54&amp;"). Our current stock is "&amp;TEXT($E54,"0")&amp;" units, which is below our reorder threshold." &amp; CHAR(10) &amp; "Please confirm availability, unit price and lead time by return." &amp; CHAR(10) &amp; "Kind regards," &amp; CHAR(10) &amp; Settings!$C$8," ","%20"),CHAR(10),"%0D%0A"),"✉️  EMAIL"),""))</f>
        <v/>
      </c>
      <c r="I54" s="36">
        <f>IF($A54="","",$E54*_xlfn.XLOOKUP($A54,'Item Master'!$A$4:$A$53,'Item Master'!$E$4:$E$53,0))</f>
        <v/>
      </c>
    </row>
    <row r="55" ht="32" customHeight="1">
      <c r="A55" s="30">
        <f>IF(INDEX('Item Master'!$A$4:$A$53,46)="","",INDEX('Item Master'!$A$4:$A$53,46))</f>
        <v/>
      </c>
      <c r="B55" s="31">
        <f>IF($A55="","",_xlfn.XLOOKUP($A55,'Item Master'!$A$4:$A$53,'Item Master'!$C$4:$C$53,""))</f>
        <v/>
      </c>
      <c r="C55" s="32">
        <f>IF($A55="","",SUMIFS('Stock In'!$F$8:$F$207,'Stock In'!$I$8:$I$207,$A55,'Stock In'!$D$8:$D$207,"IN"))</f>
        <v/>
      </c>
      <c r="D55" s="32">
        <f>IF($A55="","",SUMIF('Log Sale'!$I$9:$I$308,$A55,'Log Sale'!$K$9:$K$308)+SUMIFS('Stock In'!$F$8:$F$207,'Stock In'!$I$8:$I$207,$A55,'Stock In'!$D$8:$D$207,"SHRINKAGE"))</f>
        <v/>
      </c>
      <c r="E55" s="33">
        <f>IF($A55="","",$C55-$D55)</f>
        <v/>
      </c>
      <c r="F55" s="34">
        <f>IF($A55="","",IF($E55&lt;=_xlfn.XLOOKUP($A55,'Item Master'!$A$4:$A$53,'Item Master'!$G$4:$G$53,0)*0.1,"⚠️ REORDER NOW","✅ IN STOCK"))</f>
        <v/>
      </c>
      <c r="G55" s="35">
        <f>IF($A55="","",IF($F55="⚠️ REORDER NOW",HYPERLINK("https://wa.me/"&amp;SUBSTITUTE(SUBSTITUTE(SUBSTITUTE(SUBSTITUTE(SUBSTITUTE(SUBSTITUTE(_xlfn.XLOOKUP($A55,'Item Master'!$A$4:$A$53,'Item Master'!$J$4:$J$53,""),"+",""),"-","")," ",""),"(",""),")",""),".","")&amp;"?text="&amp;SUBSTITUTE("Hello "&amp;_xlfn.XLOOKUP($A55,'Item Master'!$A$4:$A$53,'Item Master'!$I$4:$I$53,"Supplier")&amp;", we urgently need more "&amp;$B55&amp;". Current stock is only "&amp;TEXT($E55,"0")&amp;" units. Please confirm availability and your fastest lead time. Thank you - Momentum Mind Store."," ","%20"),"💬  ORDER NOW"),""))</f>
        <v/>
      </c>
      <c r="H55" s="35">
        <f>IF($A55="","",IF($F55="⚠️ REORDER NOW",HYPERLINK("mailto:"&amp;_xlfn.XLOOKUP($A55,'Item Master'!$A$4:$A$53,'Item Master'!$K$4:$K$53,"")&amp;"?subject="&amp;SUBSTITUTE("URGENT restock request - "&amp;$B55&amp;" ("&amp;$A55&amp;")"," ","%20")&amp;"&amp;body="&amp;SUBSTITUTE(SUBSTITUTE("Hello "&amp;_xlfn.XLOOKUP($A55,'Item Master'!$A$4:$A$53,'Item Master'!$I$4:$I$53,"Supplier")&amp;"," &amp; CHAR(10) &amp; "We urgently need to restock "&amp;$B55&amp;" (SKU "&amp;$A55&amp;"). Our current stock is "&amp;TEXT($E55,"0")&amp;" units, which is below our reorder threshold." &amp; CHAR(10) &amp; "Please confirm availability, unit price and lead time by return." &amp; CHAR(10) &amp; "Kind regards," &amp; CHAR(10) &amp; Settings!$C$8," ","%20"),CHAR(10),"%0D%0A"),"✉️  EMAIL"),""))</f>
        <v/>
      </c>
      <c r="I55" s="36">
        <f>IF($A55="","",$E55*_xlfn.XLOOKUP($A55,'Item Master'!$A$4:$A$53,'Item Master'!$E$4:$E$53,0))</f>
        <v/>
      </c>
    </row>
    <row r="56" ht="32" customHeight="1">
      <c r="A56" s="30">
        <f>IF(INDEX('Item Master'!$A$4:$A$53,47)="","",INDEX('Item Master'!$A$4:$A$53,47))</f>
        <v/>
      </c>
      <c r="B56" s="31">
        <f>IF($A56="","",_xlfn.XLOOKUP($A56,'Item Master'!$A$4:$A$53,'Item Master'!$C$4:$C$53,""))</f>
        <v/>
      </c>
      <c r="C56" s="32">
        <f>IF($A56="","",SUMIFS('Stock In'!$F$8:$F$207,'Stock In'!$I$8:$I$207,$A56,'Stock In'!$D$8:$D$207,"IN"))</f>
        <v/>
      </c>
      <c r="D56" s="32">
        <f>IF($A56="","",SUMIF('Log Sale'!$I$9:$I$308,$A56,'Log Sale'!$K$9:$K$308)+SUMIFS('Stock In'!$F$8:$F$207,'Stock In'!$I$8:$I$207,$A56,'Stock In'!$D$8:$D$207,"SHRINKAGE"))</f>
        <v/>
      </c>
      <c r="E56" s="33">
        <f>IF($A56="","",$C56-$D56)</f>
        <v/>
      </c>
      <c r="F56" s="34">
        <f>IF($A56="","",IF($E56&lt;=_xlfn.XLOOKUP($A56,'Item Master'!$A$4:$A$53,'Item Master'!$G$4:$G$53,0)*0.1,"⚠️ REORDER NOW","✅ IN STOCK"))</f>
        <v/>
      </c>
      <c r="G56" s="35">
        <f>IF($A56="","",IF($F56="⚠️ REORDER NOW",HYPERLINK("https://wa.me/"&amp;SUBSTITUTE(SUBSTITUTE(SUBSTITUTE(SUBSTITUTE(SUBSTITUTE(SUBSTITUTE(_xlfn.XLOOKUP($A56,'Item Master'!$A$4:$A$53,'Item Master'!$J$4:$J$53,""),"+",""),"-","")," ",""),"(",""),")",""),".","")&amp;"?text="&amp;SUBSTITUTE("Hello "&amp;_xlfn.XLOOKUP($A56,'Item Master'!$A$4:$A$53,'Item Master'!$I$4:$I$53,"Supplier")&amp;", we urgently need more "&amp;$B56&amp;". Current stock is only "&amp;TEXT($E56,"0")&amp;" units. Please confirm availability and your fastest lead time. Thank you - Momentum Mind Store."," ","%20"),"💬  ORDER NOW"),""))</f>
        <v/>
      </c>
      <c r="H56" s="35">
        <f>IF($A56="","",IF($F56="⚠️ REORDER NOW",HYPERLINK("mailto:"&amp;_xlfn.XLOOKUP($A56,'Item Master'!$A$4:$A$53,'Item Master'!$K$4:$K$53,"")&amp;"?subject="&amp;SUBSTITUTE("URGENT restock request - "&amp;$B56&amp;" ("&amp;$A56&amp;")"," ","%20")&amp;"&amp;body="&amp;SUBSTITUTE(SUBSTITUTE("Hello "&amp;_xlfn.XLOOKUP($A56,'Item Master'!$A$4:$A$53,'Item Master'!$I$4:$I$53,"Supplier")&amp;"," &amp; CHAR(10) &amp; "We urgently need to restock "&amp;$B56&amp;" (SKU "&amp;$A56&amp;"). Our current stock is "&amp;TEXT($E56,"0")&amp;" units, which is below our reorder threshold." &amp; CHAR(10) &amp; "Please confirm availability, unit price and lead time by return." &amp; CHAR(10) &amp; "Kind regards," &amp; CHAR(10) &amp; Settings!$C$8," ","%20"),CHAR(10),"%0D%0A"),"✉️  EMAIL"),""))</f>
        <v/>
      </c>
      <c r="I56" s="36">
        <f>IF($A56="","",$E56*_xlfn.XLOOKUP($A56,'Item Master'!$A$4:$A$53,'Item Master'!$E$4:$E$53,0))</f>
        <v/>
      </c>
    </row>
    <row r="57" ht="32" customHeight="1">
      <c r="A57" s="30">
        <f>IF(INDEX('Item Master'!$A$4:$A$53,48)="","",INDEX('Item Master'!$A$4:$A$53,48))</f>
        <v/>
      </c>
      <c r="B57" s="31">
        <f>IF($A57="","",_xlfn.XLOOKUP($A57,'Item Master'!$A$4:$A$53,'Item Master'!$C$4:$C$53,""))</f>
        <v/>
      </c>
      <c r="C57" s="32">
        <f>IF($A57="","",SUMIFS('Stock In'!$F$8:$F$207,'Stock In'!$I$8:$I$207,$A57,'Stock In'!$D$8:$D$207,"IN"))</f>
        <v/>
      </c>
      <c r="D57" s="32">
        <f>IF($A57="","",SUMIF('Log Sale'!$I$9:$I$308,$A57,'Log Sale'!$K$9:$K$308)+SUMIFS('Stock In'!$F$8:$F$207,'Stock In'!$I$8:$I$207,$A57,'Stock In'!$D$8:$D$207,"SHRINKAGE"))</f>
        <v/>
      </c>
      <c r="E57" s="33">
        <f>IF($A57="","",$C57-$D57)</f>
        <v/>
      </c>
      <c r="F57" s="34">
        <f>IF($A57="","",IF($E57&lt;=_xlfn.XLOOKUP($A57,'Item Master'!$A$4:$A$53,'Item Master'!$G$4:$G$53,0)*0.1,"⚠️ REORDER NOW","✅ IN STOCK"))</f>
        <v/>
      </c>
      <c r="G57" s="35">
        <f>IF($A57="","",IF($F57="⚠️ REORDER NOW",HYPERLINK("https://wa.me/"&amp;SUBSTITUTE(SUBSTITUTE(SUBSTITUTE(SUBSTITUTE(SUBSTITUTE(SUBSTITUTE(_xlfn.XLOOKUP($A57,'Item Master'!$A$4:$A$53,'Item Master'!$J$4:$J$53,""),"+",""),"-","")," ",""),"(",""),")",""),".","")&amp;"?text="&amp;SUBSTITUTE("Hello "&amp;_xlfn.XLOOKUP($A57,'Item Master'!$A$4:$A$53,'Item Master'!$I$4:$I$53,"Supplier")&amp;", we urgently need more "&amp;$B57&amp;". Current stock is only "&amp;TEXT($E57,"0")&amp;" units. Please confirm availability and your fastest lead time. Thank you - Momentum Mind Store."," ","%20"),"💬  ORDER NOW"),""))</f>
        <v/>
      </c>
      <c r="H57" s="35">
        <f>IF($A57="","",IF($F57="⚠️ REORDER NOW",HYPERLINK("mailto:"&amp;_xlfn.XLOOKUP($A57,'Item Master'!$A$4:$A$53,'Item Master'!$K$4:$K$53,"")&amp;"?subject="&amp;SUBSTITUTE("URGENT restock request - "&amp;$B57&amp;" ("&amp;$A57&amp;")"," ","%20")&amp;"&amp;body="&amp;SUBSTITUTE(SUBSTITUTE("Hello "&amp;_xlfn.XLOOKUP($A57,'Item Master'!$A$4:$A$53,'Item Master'!$I$4:$I$53,"Supplier")&amp;"," &amp; CHAR(10) &amp; "We urgently need to restock "&amp;$B57&amp;" (SKU "&amp;$A57&amp;"). Our current stock is "&amp;TEXT($E57,"0")&amp;" units, which is below our reorder threshold." &amp; CHAR(10) &amp; "Please confirm availability, unit price and lead time by return." &amp; CHAR(10) &amp; "Kind regards," &amp; CHAR(10) &amp; Settings!$C$8," ","%20"),CHAR(10),"%0D%0A"),"✉️  EMAIL"),""))</f>
        <v/>
      </c>
      <c r="I57" s="36">
        <f>IF($A57="","",$E57*_xlfn.XLOOKUP($A57,'Item Master'!$A$4:$A$53,'Item Master'!$E$4:$E$53,0))</f>
        <v/>
      </c>
    </row>
    <row r="58" ht="32" customHeight="1">
      <c r="A58" s="30">
        <f>IF(INDEX('Item Master'!$A$4:$A$53,49)="","",INDEX('Item Master'!$A$4:$A$53,49))</f>
        <v/>
      </c>
      <c r="B58" s="31">
        <f>IF($A58="","",_xlfn.XLOOKUP($A58,'Item Master'!$A$4:$A$53,'Item Master'!$C$4:$C$53,""))</f>
        <v/>
      </c>
      <c r="C58" s="32">
        <f>IF($A58="","",SUMIFS('Stock In'!$F$8:$F$207,'Stock In'!$I$8:$I$207,$A58,'Stock In'!$D$8:$D$207,"IN"))</f>
        <v/>
      </c>
      <c r="D58" s="32">
        <f>IF($A58="","",SUMIF('Log Sale'!$I$9:$I$308,$A58,'Log Sale'!$K$9:$K$308)+SUMIFS('Stock In'!$F$8:$F$207,'Stock In'!$I$8:$I$207,$A58,'Stock In'!$D$8:$D$207,"SHRINKAGE"))</f>
        <v/>
      </c>
      <c r="E58" s="33">
        <f>IF($A58="","",$C58-$D58)</f>
        <v/>
      </c>
      <c r="F58" s="34">
        <f>IF($A58="","",IF($E58&lt;=_xlfn.XLOOKUP($A58,'Item Master'!$A$4:$A$53,'Item Master'!$G$4:$G$53,0)*0.1,"⚠️ REORDER NOW","✅ IN STOCK"))</f>
        <v/>
      </c>
      <c r="G58" s="35">
        <f>IF($A58="","",IF($F58="⚠️ REORDER NOW",HYPERLINK("https://wa.me/"&amp;SUBSTITUTE(SUBSTITUTE(SUBSTITUTE(SUBSTITUTE(SUBSTITUTE(SUBSTITUTE(_xlfn.XLOOKUP($A58,'Item Master'!$A$4:$A$53,'Item Master'!$J$4:$J$53,""),"+",""),"-","")," ",""),"(",""),")",""),".","")&amp;"?text="&amp;SUBSTITUTE("Hello "&amp;_xlfn.XLOOKUP($A58,'Item Master'!$A$4:$A$53,'Item Master'!$I$4:$I$53,"Supplier")&amp;", we urgently need more "&amp;$B58&amp;". Current stock is only "&amp;TEXT($E58,"0")&amp;" units. Please confirm availability and your fastest lead time. Thank you - Momentum Mind Store."," ","%20"),"💬  ORDER NOW"),""))</f>
        <v/>
      </c>
      <c r="H58" s="35">
        <f>IF($A58="","",IF($F58="⚠️ REORDER NOW",HYPERLINK("mailto:"&amp;_xlfn.XLOOKUP($A58,'Item Master'!$A$4:$A$53,'Item Master'!$K$4:$K$53,"")&amp;"?subject="&amp;SUBSTITUTE("URGENT restock request - "&amp;$B58&amp;" ("&amp;$A58&amp;")"," ","%20")&amp;"&amp;body="&amp;SUBSTITUTE(SUBSTITUTE("Hello "&amp;_xlfn.XLOOKUP($A58,'Item Master'!$A$4:$A$53,'Item Master'!$I$4:$I$53,"Supplier")&amp;"," &amp; CHAR(10) &amp; "We urgently need to restock "&amp;$B58&amp;" (SKU "&amp;$A58&amp;"). Our current stock is "&amp;TEXT($E58,"0")&amp;" units, which is below our reorder threshold." &amp; CHAR(10) &amp; "Please confirm availability, unit price and lead time by return." &amp; CHAR(10) &amp; "Kind regards," &amp; CHAR(10) &amp; Settings!$C$8," ","%20"),CHAR(10),"%0D%0A"),"✉️  EMAIL"),""))</f>
        <v/>
      </c>
      <c r="I58" s="36">
        <f>IF($A58="","",$E58*_xlfn.XLOOKUP($A58,'Item Master'!$A$4:$A$53,'Item Master'!$E$4:$E$53,0))</f>
        <v/>
      </c>
    </row>
    <row r="59" ht="32" customHeight="1">
      <c r="A59" s="30">
        <f>IF(INDEX('Item Master'!$A$4:$A$53,50)="","",INDEX('Item Master'!$A$4:$A$53,50))</f>
        <v/>
      </c>
      <c r="B59" s="31">
        <f>IF($A59="","",_xlfn.XLOOKUP($A59,'Item Master'!$A$4:$A$53,'Item Master'!$C$4:$C$53,""))</f>
        <v/>
      </c>
      <c r="C59" s="32">
        <f>IF($A59="","",SUMIFS('Stock In'!$F$8:$F$207,'Stock In'!$I$8:$I$207,$A59,'Stock In'!$D$8:$D$207,"IN"))</f>
        <v/>
      </c>
      <c r="D59" s="32">
        <f>IF($A59="","",SUMIF('Log Sale'!$I$9:$I$308,$A59,'Log Sale'!$K$9:$K$308)+SUMIFS('Stock In'!$F$8:$F$207,'Stock In'!$I$8:$I$207,$A59,'Stock In'!$D$8:$D$207,"SHRINKAGE"))</f>
        <v/>
      </c>
      <c r="E59" s="33">
        <f>IF($A59="","",$C59-$D59)</f>
        <v/>
      </c>
      <c r="F59" s="34">
        <f>IF($A59="","",IF($E59&lt;=_xlfn.XLOOKUP($A59,'Item Master'!$A$4:$A$53,'Item Master'!$G$4:$G$53,0)*0.1,"⚠️ REORDER NOW","✅ IN STOCK"))</f>
        <v/>
      </c>
      <c r="G59" s="35">
        <f>IF($A59="","",IF($F59="⚠️ REORDER NOW",HYPERLINK("https://wa.me/"&amp;SUBSTITUTE(SUBSTITUTE(SUBSTITUTE(SUBSTITUTE(SUBSTITUTE(SUBSTITUTE(_xlfn.XLOOKUP($A59,'Item Master'!$A$4:$A$53,'Item Master'!$J$4:$J$53,""),"+",""),"-","")," ",""),"(",""),")",""),".","")&amp;"?text="&amp;SUBSTITUTE("Hello "&amp;_xlfn.XLOOKUP($A59,'Item Master'!$A$4:$A$53,'Item Master'!$I$4:$I$53,"Supplier")&amp;", we urgently need more "&amp;$B59&amp;". Current stock is only "&amp;TEXT($E59,"0")&amp;" units. Please confirm availability and your fastest lead time. Thank you - Momentum Mind Store."," ","%20"),"💬  ORDER NOW"),""))</f>
        <v/>
      </c>
      <c r="H59" s="35">
        <f>IF($A59="","",IF($F59="⚠️ REORDER NOW",HYPERLINK("mailto:"&amp;_xlfn.XLOOKUP($A59,'Item Master'!$A$4:$A$53,'Item Master'!$K$4:$K$53,"")&amp;"?subject="&amp;SUBSTITUTE("URGENT restock request - "&amp;$B59&amp;" ("&amp;$A59&amp;")"," ","%20")&amp;"&amp;body="&amp;SUBSTITUTE(SUBSTITUTE("Hello "&amp;_xlfn.XLOOKUP($A59,'Item Master'!$A$4:$A$53,'Item Master'!$I$4:$I$53,"Supplier")&amp;"," &amp; CHAR(10) &amp; "We urgently need to restock "&amp;$B59&amp;" (SKU "&amp;$A59&amp;"). Our current stock is "&amp;TEXT($E59,"0")&amp;" units, which is below our reorder threshold." &amp; CHAR(10) &amp; "Please confirm availability, unit price and lead time by return." &amp; CHAR(10) &amp; "Kind regards," &amp; CHAR(10) &amp; Settings!$C$8," ","%20"),CHAR(10),"%0D%0A"),"✉️  EMAIL"),""))</f>
        <v/>
      </c>
      <c r="I59" s="36">
        <f>IF($A59="","",$E59*_xlfn.XLOOKUP($A59,'Item Master'!$A$4:$A$53,'Item Master'!$E$4:$E$53,0))</f>
        <v/>
      </c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</row>
    <row r="80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</row>
    <row r="8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</row>
    <row r="82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</row>
    <row r="83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</row>
    <row r="84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</row>
    <row r="85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</row>
    <row r="86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</row>
    <row r="8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</row>
    <row r="8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</row>
    <row r="90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</row>
    <row r="9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</row>
    <row r="92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</row>
    <row r="93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</row>
    <row r="94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</row>
    <row r="95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</row>
    <row r="96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</row>
    <row r="97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</row>
    <row r="9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</row>
    <row r="9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</row>
    <row r="100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</row>
    <row r="10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</row>
    <row r="102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</row>
    <row r="103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</row>
    <row r="104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</row>
    <row r="105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</row>
    <row r="106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</row>
    <row r="107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</row>
    <row r="10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</row>
    <row r="10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</row>
    <row r="110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</row>
    <row r="11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</row>
    <row r="112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</row>
    <row r="113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</row>
    <row r="114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</row>
    <row r="115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</row>
    <row r="116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</row>
    <row r="117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</row>
    <row r="11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</row>
    <row r="11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</row>
    <row r="120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</row>
    <row r="12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</row>
    <row r="122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</row>
    <row r="123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</row>
    <row r="124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</row>
    <row r="125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</row>
    <row r="126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</row>
    <row r="127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</row>
    <row r="1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</row>
    <row r="12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</row>
    <row r="130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</row>
    <row r="1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</row>
    <row r="132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</row>
    <row r="133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</row>
    <row r="134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</row>
    <row r="135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</row>
    <row r="136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</row>
    <row r="137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</row>
    <row r="13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</row>
    <row r="13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</row>
    <row r="140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</row>
    <row r="14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</row>
    <row r="142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</row>
    <row r="143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</row>
    <row r="144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</row>
    <row r="145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</row>
    <row r="146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</row>
    <row r="147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</row>
    <row r="14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</row>
    <row r="14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</row>
    <row r="150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</row>
    <row r="15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</row>
    <row r="152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</row>
    <row r="153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</row>
    <row r="154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</row>
    <row r="155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</row>
    <row r="156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</row>
    <row r="157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</row>
    <row r="15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</row>
    <row r="1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</row>
    <row r="160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</row>
    <row r="16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</row>
    <row r="162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</row>
    <row r="163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</row>
    <row r="164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</row>
    <row r="165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</row>
    <row r="166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</row>
    <row r="167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</row>
    <row r="16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</row>
    <row r="16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</row>
    <row r="170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</row>
    <row r="17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</row>
    <row r="172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</row>
    <row r="173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</row>
    <row r="174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</row>
    <row r="175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</row>
    <row r="176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</row>
    <row r="177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</row>
    <row r="17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</row>
    <row r="17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</row>
    <row r="180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</row>
    <row r="18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</row>
    <row r="182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</row>
    <row r="183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</row>
    <row r="184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</row>
    <row r="185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</row>
    <row r="186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</row>
    <row r="187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</row>
    <row r="18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</row>
    <row r="18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</row>
    <row r="190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</row>
    <row r="19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</row>
    <row r="192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</row>
    <row r="193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</row>
    <row r="194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</row>
    <row r="195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</row>
    <row r="196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</row>
    <row r="197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</row>
    <row r="19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</row>
    <row r="19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</row>
    <row r="200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</row>
    <row r="20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</row>
    <row r="202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</row>
    <row r="203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</row>
    <row r="204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</row>
    <row r="205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</row>
    <row r="206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</row>
    <row r="207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</row>
    <row r="20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</row>
    <row r="20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</row>
    <row r="210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</row>
    <row r="21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</row>
    <row r="212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</row>
    <row r="213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</row>
    <row r="214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</row>
    <row r="215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</row>
    <row r="216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</row>
    <row r="21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</row>
    <row r="21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</row>
    <row r="21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</row>
    <row r="220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</row>
    <row r="22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</row>
    <row r="222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</row>
    <row r="223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</row>
    <row r="224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</row>
    <row r="225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</row>
    <row r="226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</row>
    <row r="227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</row>
    <row r="2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</row>
    <row r="22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</row>
    <row r="230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</row>
    <row r="2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</row>
    <row r="232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</row>
    <row r="233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</row>
    <row r="234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</row>
    <row r="235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</row>
    <row r="236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</row>
    <row r="237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</row>
    <row r="23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</row>
    <row r="23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</row>
    <row r="240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</row>
    <row r="2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</row>
    <row r="242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</row>
    <row r="243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</row>
    <row r="244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</row>
    <row r="245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</row>
    <row r="246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</row>
    <row r="247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</row>
    <row r="24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</row>
    <row r="24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</row>
    <row r="250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</row>
    <row r="25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</row>
    <row r="252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</row>
    <row r="253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</row>
    <row r="254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</row>
    <row r="255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</row>
    <row r="256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</row>
    <row r="257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</row>
    <row r="25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</row>
    <row r="2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</row>
    <row r="260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</row>
    <row r="26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</row>
    <row r="262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</row>
    <row r="263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</row>
    <row r="264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</row>
    <row r="265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</row>
    <row r="266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</row>
    <row r="267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</row>
    <row r="26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</row>
    <row r="26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</row>
    <row r="270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</row>
    <row r="2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</row>
    <row r="272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</row>
    <row r="273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</row>
    <row r="274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</row>
    <row r="275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</row>
    <row r="276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</row>
    <row r="277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</row>
    <row r="27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</row>
    <row r="27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</row>
    <row r="280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</row>
    <row r="28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</row>
    <row r="282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</row>
    <row r="283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</row>
    <row r="284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</row>
    <row r="285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</row>
    <row r="286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</row>
    <row r="287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</row>
    <row r="28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</row>
    <row r="28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</row>
    <row r="290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</row>
    <row r="29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</row>
    <row r="292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</row>
    <row r="293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</row>
    <row r="294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</row>
    <row r="295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</row>
    <row r="296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</row>
    <row r="297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</row>
    <row r="29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</row>
    <row r="29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</row>
    <row r="300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</row>
    <row r="30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</row>
    <row r="302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</row>
    <row r="303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</row>
    <row r="304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</row>
    <row r="305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</row>
    <row r="306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</row>
    <row r="307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</row>
    <row r="30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</row>
    <row r="30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</row>
    <row r="310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</row>
    <row r="31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</row>
    <row r="312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</row>
    <row r="313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</row>
    <row r="314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</row>
    <row r="315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</row>
    <row r="316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</row>
    <row r="317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</row>
    <row r="31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</row>
    <row r="31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</row>
    <row r="320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</row>
    <row r="32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</row>
    <row r="322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</row>
    <row r="323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</row>
    <row r="324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</row>
    <row r="325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</row>
    <row r="326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</row>
    <row r="327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</row>
    <row r="3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</row>
    <row r="32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</row>
    <row r="330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</row>
    <row r="3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</row>
    <row r="332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</row>
    <row r="333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</row>
    <row r="334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</row>
    <row r="335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</row>
    <row r="336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</row>
    <row r="337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</row>
    <row r="33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</row>
    <row r="33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</row>
  </sheetData>
  <mergeCells count="12">
    <mergeCell ref="A4:H4"/>
    <mergeCell ref="C7:D7"/>
    <mergeCell ref="A7:B7"/>
    <mergeCell ref="G7:H7"/>
    <mergeCell ref="C1:D1"/>
    <mergeCell ref="E7:F7"/>
    <mergeCell ref="G1:H1"/>
    <mergeCell ref="C8:D8"/>
    <mergeCell ref="A5:H5"/>
    <mergeCell ref="G8:H8"/>
    <mergeCell ref="A8:B8"/>
    <mergeCell ref="A6:H6"/>
  </mergeCells>
  <conditionalFormatting sqref="F10:F59">
    <cfRule type="expression" priority="1" dxfId="0">
      <formula>$F10="⚠️ REORDER NOW"</formula>
    </cfRule>
    <cfRule type="expression" priority="2" dxfId="1">
      <formula>$F10="✅ IN STOCK"</formula>
    </cfRule>
  </conditionalFormatting>
  <conditionalFormatting sqref="E10:E59">
    <cfRule type="expression" priority="3" dxfId="2">
      <formula>AND($A10&lt;&gt;"",$E10&lt;=0)</formula>
    </cfRule>
  </conditionalFormatting>
  <conditionalFormatting sqref="G10:G59">
    <cfRule type="expression" priority="4" dxfId="3">
      <formula>$G10&lt;&gt;""</formula>
    </cfRule>
  </conditionalFormatting>
  <conditionalFormatting sqref="H10:H59">
    <cfRule type="expression" priority="5" dxfId="4">
      <formula>$H10&lt;&gt;""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4F46E5"/>
    <outlinePr summaryBelow="1" summaryRight="1"/>
    <pageSetUpPr/>
  </sheetPr>
  <dimension ref="A1:K339"/>
  <sheetViews>
    <sheetView showGridLines="0" showRowColHeaders="0" tabSelected="0"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0" customWidth="1" min="3" max="3"/>
    <col width="14" customWidth="1" min="4" max="4"/>
    <col width="11" customWidth="1" min="5" max="5"/>
    <col width="11" customWidth="1" min="6" max="6"/>
    <col width="11" customWidth="1" min="7" max="7"/>
    <col width="12" customWidth="1" min="8" max="8"/>
    <col width="20" customWidth="1" min="9" max="9"/>
    <col width="16" customWidth="1" min="10" max="10"/>
    <col width="24" customWidth="1" min="11" max="11"/>
  </cols>
  <sheetData>
    <row r="1" ht="40" customHeight="1">
      <c r="A1" s="1">
        <f>HYPERLINK("#'Dashboard'!A1","🏠 Home")</f>
        <v/>
      </c>
      <c r="C1" s="1">
        <f>HYPERLINK("#'Item Master'!A1","📦 Items")</f>
        <v/>
      </c>
      <c r="D1" s="1">
        <f>HYPERLINK("#'Log Sale'!A1","🛒 New Sale")</f>
        <v/>
      </c>
      <c r="F1" s="1">
        <f>HYPERLINK("#'Stock In'!A1","📥 Stock In")</f>
        <v/>
      </c>
      <c r="H1" s="1">
        <f>HYPERLINK("#'Invoice Generator'!A1","🧾 Invoice")</f>
        <v/>
      </c>
      <c r="J1" s="1">
        <f>HYPERLINK("#'Sales Log'!A1","📊 Logs")</f>
        <v/>
      </c>
    </row>
    <row r="2" ht="6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 ht="38" customHeight="1">
      <c r="A3" s="29" t="inlineStr">
        <is>
          <t>SKU</t>
        </is>
      </c>
      <c r="B3" s="29" t="inlineStr">
        <is>
          <t>📷 Barcode</t>
        </is>
      </c>
      <c r="C3" s="29" t="inlineStr">
        <is>
          <t>📦 Product Name</t>
        </is>
      </c>
      <c r="D3" s="29" t="inlineStr">
        <is>
          <t>Category</t>
        </is>
      </c>
      <c r="E3" s="29" t="inlineStr">
        <is>
          <t>Cost</t>
        </is>
      </c>
      <c r="F3" s="29" t="inlineStr">
        <is>
          <t>Price</t>
        </is>
      </c>
      <c r="G3" s="29" t="inlineStr">
        <is>
          <t>Max Stock</t>
        </is>
      </c>
      <c r="H3" s="29" t="inlineStr">
        <is>
          <t>Reorder Point</t>
        </is>
      </c>
      <c r="I3" s="29" t="inlineStr">
        <is>
          <t>Supplier Name</t>
        </is>
      </c>
      <c r="J3" s="29" t="inlineStr">
        <is>
          <t>📞 Supp. Phone</t>
        </is>
      </c>
      <c r="K3" s="29" t="inlineStr">
        <is>
          <t>✉️ Supp. Email</t>
        </is>
      </c>
    </row>
    <row r="4" ht="32" customHeight="1">
      <c r="A4" s="37" t="inlineStr">
        <is>
          <t>LAV-001</t>
        </is>
      </c>
      <c r="B4" s="38" t="inlineStr">
        <is>
          <t>5060001000017</t>
        </is>
      </c>
      <c r="C4" s="39" t="inlineStr">
        <is>
          <t>🕯️ Lavender Soy Candle 220g</t>
        </is>
      </c>
      <c r="D4" s="39" t="inlineStr">
        <is>
          <t>Home Fragrance</t>
        </is>
      </c>
      <c r="E4" s="40" t="n">
        <v>6.5</v>
      </c>
      <c r="F4" s="40" t="n">
        <v>18</v>
      </c>
      <c r="G4" s="41" t="n">
        <v>120</v>
      </c>
      <c r="H4" s="41" t="n">
        <v>25</v>
      </c>
      <c r="I4" s="39" t="inlineStr">
        <is>
          <t>Aurora Wax Co.</t>
        </is>
      </c>
      <c r="J4" s="42" t="inlineStr">
        <is>
          <t>15551234567</t>
        </is>
      </c>
      <c r="K4" s="39" t="inlineStr">
        <is>
          <t>orders@aurorawax.com</t>
        </is>
      </c>
    </row>
    <row r="5" ht="32" customHeight="1">
      <c r="A5" s="37" t="inlineStr">
        <is>
          <t>CER-014</t>
        </is>
      </c>
      <c r="B5" s="38" t="inlineStr">
        <is>
          <t>5060001000024</t>
        </is>
      </c>
      <c r="C5" s="39" t="inlineStr">
        <is>
          <t>☕ Ceramic Mug — Sand</t>
        </is>
      </c>
      <c r="D5" s="39" t="inlineStr">
        <is>
          <t>Drinkware</t>
        </is>
      </c>
      <c r="E5" s="40" t="n">
        <v>4.2</v>
      </c>
      <c r="F5" s="40" t="n">
        <v>14</v>
      </c>
      <c r="G5" s="41" t="n">
        <v>200</v>
      </c>
      <c r="H5" s="41" t="n">
        <v>40</v>
      </c>
      <c r="I5" s="39" t="inlineStr">
        <is>
          <t>Kiln &amp; Clay Ltd</t>
        </is>
      </c>
      <c r="J5" s="42" t="inlineStr">
        <is>
          <t>15559876543</t>
        </is>
      </c>
      <c r="K5" s="39" t="inlineStr">
        <is>
          <t>sales@kilnclay.com</t>
        </is>
      </c>
    </row>
    <row r="6" ht="32" customHeight="1">
      <c r="A6" s="37" t="inlineStr">
        <is>
          <t>TOT-007</t>
        </is>
      </c>
      <c r="B6" s="38" t="inlineStr">
        <is>
          <t>5060001000031</t>
        </is>
      </c>
      <c r="C6" s="39" t="inlineStr">
        <is>
          <t>👜 Canvas Tote Bag — Natural</t>
        </is>
      </c>
      <c r="D6" s="39" t="inlineStr">
        <is>
          <t>Bags</t>
        </is>
      </c>
      <c r="E6" s="40" t="n">
        <v>3.8</v>
      </c>
      <c r="F6" s="40" t="n">
        <v>12.5</v>
      </c>
      <c r="G6" s="41" t="n">
        <v>150</v>
      </c>
      <c r="H6" s="41" t="n">
        <v>30</v>
      </c>
      <c r="I6" s="39" t="inlineStr">
        <is>
          <t>NorthLoom Textiles</t>
        </is>
      </c>
      <c r="J6" s="42" t="inlineStr">
        <is>
          <t>15554567890</t>
        </is>
      </c>
      <c r="K6" s="39" t="inlineStr">
        <is>
          <t>hello@northloom.com</t>
        </is>
      </c>
    </row>
    <row r="7" ht="32" customHeight="1">
      <c r="A7" s="37" t="inlineStr">
        <is>
          <t>JRN-002</t>
        </is>
      </c>
      <c r="B7" s="38" t="inlineStr">
        <is>
          <t>5060001000048</t>
        </is>
      </c>
      <c r="C7" s="39" t="inlineStr">
        <is>
          <t>📓 Linen Journal A5</t>
        </is>
      </c>
      <c r="D7" s="39" t="inlineStr">
        <is>
          <t>Stationery</t>
        </is>
      </c>
      <c r="E7" s="40" t="n">
        <v>5.1</v>
      </c>
      <c r="F7" s="40" t="n">
        <v>16</v>
      </c>
      <c r="G7" s="41" t="n">
        <v>100</v>
      </c>
      <c r="H7" s="41" t="n">
        <v>20</v>
      </c>
      <c r="I7" s="39" t="inlineStr">
        <is>
          <t>PaperFold Studio</t>
        </is>
      </c>
      <c r="J7" s="42" t="inlineStr">
        <is>
          <t>15553216549</t>
        </is>
      </c>
      <c r="K7" s="39" t="inlineStr">
        <is>
          <t>supply@paperfold.com</t>
        </is>
      </c>
    </row>
    <row r="8" ht="32" customHeight="1">
      <c r="A8" s="37" t="inlineStr">
        <is>
          <t>SKN-021</t>
        </is>
      </c>
      <c r="B8" s="38" t="inlineStr">
        <is>
          <t>5060001000055</t>
        </is>
      </c>
      <c r="C8" s="39" t="inlineStr">
        <is>
          <t>🧴 Botanical Body Oil 100ml</t>
        </is>
      </c>
      <c r="D8" s="39" t="inlineStr">
        <is>
          <t>Skincare</t>
        </is>
      </c>
      <c r="E8" s="40" t="n">
        <v>7.9</v>
      </c>
      <c r="F8" s="40" t="n">
        <v>24</v>
      </c>
      <c r="G8" s="41" t="n">
        <v>80</v>
      </c>
      <c r="H8" s="41" t="n">
        <v>16</v>
      </c>
      <c r="I8" s="39" t="inlineStr">
        <is>
          <t>Botanica Labs</t>
        </is>
      </c>
      <c r="J8" s="42" t="inlineStr">
        <is>
          <t>15557778888</t>
        </is>
      </c>
      <c r="K8" s="39" t="inlineStr">
        <is>
          <t>orders@botanicalabs.com</t>
        </is>
      </c>
    </row>
    <row r="9" ht="32" customHeight="1">
      <c r="A9" s="37" t="inlineStr">
        <is>
          <t>TEA-009</t>
        </is>
      </c>
      <c r="B9" s="38" t="inlineStr">
        <is>
          <t>5060001000062</t>
        </is>
      </c>
      <c r="C9" s="39" t="inlineStr">
        <is>
          <t>🍵 Loose Leaf Tea 200g</t>
        </is>
      </c>
      <c r="D9" s="39" t="inlineStr">
        <is>
          <t>Pantry</t>
        </is>
      </c>
      <c r="E9" s="40" t="n">
        <v>5.6</v>
      </c>
      <c r="F9" s="40" t="n">
        <v>17.5</v>
      </c>
      <c r="G9" s="41" t="n">
        <v>90</v>
      </c>
      <c r="H9" s="41" t="n">
        <v>18</v>
      </c>
      <c r="I9" s="39" t="inlineStr">
        <is>
          <t>Verde Leaf Imports</t>
        </is>
      </c>
      <c r="J9" s="42" t="inlineStr">
        <is>
          <t>15552223333</t>
        </is>
      </c>
      <c r="K9" s="39" t="inlineStr">
        <is>
          <t>buy@verdeleaf.com</t>
        </is>
      </c>
    </row>
    <row r="10" ht="32" customHeight="1">
      <c r="A10" s="37" t="n"/>
      <c r="B10" s="38" t="n"/>
      <c r="C10" s="39" t="n"/>
      <c r="D10" s="39" t="n"/>
      <c r="E10" s="40" t="n"/>
      <c r="F10" s="40" t="n"/>
      <c r="G10" s="41" t="n"/>
      <c r="H10" s="41" t="n"/>
      <c r="I10" s="39" t="n"/>
      <c r="J10" s="42" t="n"/>
      <c r="K10" s="39" t="n"/>
    </row>
    <row r="11" ht="32" customHeight="1">
      <c r="A11" s="37" t="n"/>
      <c r="B11" s="38" t="n"/>
      <c r="C11" s="39" t="n"/>
      <c r="D11" s="39" t="n"/>
      <c r="E11" s="40" t="n"/>
      <c r="F11" s="40" t="n"/>
      <c r="G11" s="41" t="n"/>
      <c r="H11" s="41" t="n"/>
      <c r="I11" s="39" t="n"/>
      <c r="J11" s="42" t="n"/>
      <c r="K11" s="39" t="n"/>
    </row>
    <row r="12" ht="32" customHeight="1">
      <c r="A12" s="37" t="n"/>
      <c r="B12" s="38" t="n"/>
      <c r="C12" s="39" t="n"/>
      <c r="D12" s="39" t="n"/>
      <c r="E12" s="40" t="n"/>
      <c r="F12" s="40" t="n"/>
      <c r="G12" s="41" t="n"/>
      <c r="H12" s="41" t="n"/>
      <c r="I12" s="39" t="n"/>
      <c r="J12" s="42" t="n"/>
      <c r="K12" s="39" t="n"/>
    </row>
    <row r="13" ht="32" customHeight="1">
      <c r="A13" s="37" t="n"/>
      <c r="B13" s="38" t="n"/>
      <c r="C13" s="39" t="n"/>
      <c r="D13" s="39" t="n"/>
      <c r="E13" s="40" t="n"/>
      <c r="F13" s="40" t="n"/>
      <c r="G13" s="41" t="n"/>
      <c r="H13" s="41" t="n"/>
      <c r="I13" s="39" t="n"/>
      <c r="J13" s="42" t="n"/>
      <c r="K13" s="39" t="n"/>
    </row>
    <row r="14" ht="32" customHeight="1">
      <c r="A14" s="37" t="n"/>
      <c r="B14" s="38" t="n"/>
      <c r="C14" s="39" t="n"/>
      <c r="D14" s="39" t="n"/>
      <c r="E14" s="40" t="n"/>
      <c r="F14" s="40" t="n"/>
      <c r="G14" s="41" t="n"/>
      <c r="H14" s="41" t="n"/>
      <c r="I14" s="39" t="n"/>
      <c r="J14" s="42" t="n"/>
      <c r="K14" s="39" t="n"/>
    </row>
    <row r="15" ht="32" customHeight="1">
      <c r="A15" s="37" t="n"/>
      <c r="B15" s="38" t="n"/>
      <c r="C15" s="39" t="n"/>
      <c r="D15" s="39" t="n"/>
      <c r="E15" s="40" t="n"/>
      <c r="F15" s="40" t="n"/>
      <c r="G15" s="41" t="n"/>
      <c r="H15" s="41" t="n"/>
      <c r="I15" s="39" t="n"/>
      <c r="J15" s="42" t="n"/>
      <c r="K15" s="39" t="n"/>
    </row>
    <row r="16" ht="32" customHeight="1">
      <c r="A16" s="37" t="n"/>
      <c r="B16" s="38" t="n"/>
      <c r="C16" s="39" t="n"/>
      <c r="D16" s="39" t="n"/>
      <c r="E16" s="40" t="n"/>
      <c r="F16" s="40" t="n"/>
      <c r="G16" s="41" t="n"/>
      <c r="H16" s="41" t="n"/>
      <c r="I16" s="39" t="n"/>
      <c r="J16" s="42" t="n"/>
      <c r="K16" s="39" t="n"/>
    </row>
    <row r="17" ht="32" customHeight="1">
      <c r="A17" s="37" t="n"/>
      <c r="B17" s="38" t="n"/>
      <c r="C17" s="39" t="n"/>
      <c r="D17" s="39" t="n"/>
      <c r="E17" s="40" t="n"/>
      <c r="F17" s="40" t="n"/>
      <c r="G17" s="41" t="n"/>
      <c r="H17" s="41" t="n"/>
      <c r="I17" s="39" t="n"/>
      <c r="J17" s="42" t="n"/>
      <c r="K17" s="39" t="n"/>
    </row>
    <row r="18" ht="32" customHeight="1">
      <c r="A18" s="37" t="n"/>
      <c r="B18" s="38" t="n"/>
      <c r="C18" s="39" t="n"/>
      <c r="D18" s="39" t="n"/>
      <c r="E18" s="40" t="n"/>
      <c r="F18" s="40" t="n"/>
      <c r="G18" s="41" t="n"/>
      <c r="H18" s="41" t="n"/>
      <c r="I18" s="39" t="n"/>
      <c r="J18" s="42" t="n"/>
      <c r="K18" s="39" t="n"/>
    </row>
    <row r="19" ht="32" customHeight="1">
      <c r="A19" s="37" t="n"/>
      <c r="B19" s="38" t="n"/>
      <c r="C19" s="39" t="n"/>
      <c r="D19" s="39" t="n"/>
      <c r="E19" s="40" t="n"/>
      <c r="F19" s="40" t="n"/>
      <c r="G19" s="41" t="n"/>
      <c r="H19" s="41" t="n"/>
      <c r="I19" s="39" t="n"/>
      <c r="J19" s="42" t="n"/>
      <c r="K19" s="39" t="n"/>
    </row>
    <row r="20" ht="32" customHeight="1">
      <c r="A20" s="37" t="n"/>
      <c r="B20" s="38" t="n"/>
      <c r="C20" s="39" t="n"/>
      <c r="D20" s="39" t="n"/>
      <c r="E20" s="40" t="n"/>
      <c r="F20" s="40" t="n"/>
      <c r="G20" s="41" t="n"/>
      <c r="H20" s="41" t="n"/>
      <c r="I20" s="39" t="n"/>
      <c r="J20" s="42" t="n"/>
      <c r="K20" s="39" t="n"/>
    </row>
    <row r="21" ht="32" customHeight="1">
      <c r="A21" s="37" t="n"/>
      <c r="B21" s="38" t="n"/>
      <c r="C21" s="39" t="n"/>
      <c r="D21" s="39" t="n"/>
      <c r="E21" s="40" t="n"/>
      <c r="F21" s="40" t="n"/>
      <c r="G21" s="41" t="n"/>
      <c r="H21" s="41" t="n"/>
      <c r="I21" s="39" t="n"/>
      <c r="J21" s="42" t="n"/>
      <c r="K21" s="39" t="n"/>
    </row>
    <row r="22" ht="32" customHeight="1">
      <c r="A22" s="37" t="n"/>
      <c r="B22" s="38" t="n"/>
      <c r="C22" s="39" t="n"/>
      <c r="D22" s="39" t="n"/>
      <c r="E22" s="40" t="n"/>
      <c r="F22" s="40" t="n"/>
      <c r="G22" s="41" t="n"/>
      <c r="H22" s="41" t="n"/>
      <c r="I22" s="39" t="n"/>
      <c r="J22" s="42" t="n"/>
      <c r="K22" s="39" t="n"/>
    </row>
    <row r="23" ht="32" customHeight="1">
      <c r="A23" s="37" t="n"/>
      <c r="B23" s="38" t="n"/>
      <c r="C23" s="39" t="n"/>
      <c r="D23" s="39" t="n"/>
      <c r="E23" s="40" t="n"/>
      <c r="F23" s="40" t="n"/>
      <c r="G23" s="41" t="n"/>
      <c r="H23" s="41" t="n"/>
      <c r="I23" s="39" t="n"/>
      <c r="J23" s="42" t="n"/>
      <c r="K23" s="39" t="n"/>
    </row>
    <row r="24" ht="32" customHeight="1">
      <c r="A24" s="37" t="n"/>
      <c r="B24" s="38" t="n"/>
      <c r="C24" s="39" t="n"/>
      <c r="D24" s="39" t="n"/>
      <c r="E24" s="40" t="n"/>
      <c r="F24" s="40" t="n"/>
      <c r="G24" s="41" t="n"/>
      <c r="H24" s="41" t="n"/>
      <c r="I24" s="39" t="n"/>
      <c r="J24" s="42" t="n"/>
      <c r="K24" s="39" t="n"/>
    </row>
    <row r="25" ht="32" customHeight="1">
      <c r="A25" s="37" t="n"/>
      <c r="B25" s="38" t="n"/>
      <c r="C25" s="39" t="n"/>
      <c r="D25" s="39" t="n"/>
      <c r="E25" s="40" t="n"/>
      <c r="F25" s="40" t="n"/>
      <c r="G25" s="41" t="n"/>
      <c r="H25" s="41" t="n"/>
      <c r="I25" s="39" t="n"/>
      <c r="J25" s="42" t="n"/>
      <c r="K25" s="39" t="n"/>
    </row>
    <row r="26" ht="32" customHeight="1">
      <c r="A26" s="37" t="n"/>
      <c r="B26" s="38" t="n"/>
      <c r="C26" s="39" t="n"/>
      <c r="D26" s="39" t="n"/>
      <c r="E26" s="40" t="n"/>
      <c r="F26" s="40" t="n"/>
      <c r="G26" s="41" t="n"/>
      <c r="H26" s="41" t="n"/>
      <c r="I26" s="39" t="n"/>
      <c r="J26" s="42" t="n"/>
      <c r="K26" s="39" t="n"/>
    </row>
    <row r="27" ht="32" customHeight="1">
      <c r="A27" s="37" t="n"/>
      <c r="B27" s="38" t="n"/>
      <c r="C27" s="39" t="n"/>
      <c r="D27" s="39" t="n"/>
      <c r="E27" s="40" t="n"/>
      <c r="F27" s="40" t="n"/>
      <c r="G27" s="41" t="n"/>
      <c r="H27" s="41" t="n"/>
      <c r="I27" s="39" t="n"/>
      <c r="J27" s="42" t="n"/>
      <c r="K27" s="39" t="n"/>
    </row>
    <row r="28" ht="32" customHeight="1">
      <c r="A28" s="37" t="n"/>
      <c r="B28" s="38" t="n"/>
      <c r="C28" s="39" t="n"/>
      <c r="D28" s="39" t="n"/>
      <c r="E28" s="40" t="n"/>
      <c r="F28" s="40" t="n"/>
      <c r="G28" s="41" t="n"/>
      <c r="H28" s="41" t="n"/>
      <c r="I28" s="39" t="n"/>
      <c r="J28" s="42" t="n"/>
      <c r="K28" s="39" t="n"/>
    </row>
    <row r="29" ht="32" customHeight="1">
      <c r="A29" s="37" t="n"/>
      <c r="B29" s="38" t="n"/>
      <c r="C29" s="39" t="n"/>
      <c r="D29" s="39" t="n"/>
      <c r="E29" s="40" t="n"/>
      <c r="F29" s="40" t="n"/>
      <c r="G29" s="41" t="n"/>
      <c r="H29" s="41" t="n"/>
      <c r="I29" s="39" t="n"/>
      <c r="J29" s="42" t="n"/>
      <c r="K29" s="39" t="n"/>
    </row>
    <row r="30" ht="32" customHeight="1">
      <c r="A30" s="37" t="n"/>
      <c r="B30" s="38" t="n"/>
      <c r="C30" s="39" t="n"/>
      <c r="D30" s="39" t="n"/>
      <c r="E30" s="40" t="n"/>
      <c r="F30" s="40" t="n"/>
      <c r="G30" s="41" t="n"/>
      <c r="H30" s="41" t="n"/>
      <c r="I30" s="39" t="n"/>
      <c r="J30" s="42" t="n"/>
      <c r="K30" s="39" t="n"/>
    </row>
    <row r="31" ht="32" customHeight="1">
      <c r="A31" s="37" t="n"/>
      <c r="B31" s="38" t="n"/>
      <c r="C31" s="39" t="n"/>
      <c r="D31" s="39" t="n"/>
      <c r="E31" s="40" t="n"/>
      <c r="F31" s="40" t="n"/>
      <c r="G31" s="41" t="n"/>
      <c r="H31" s="41" t="n"/>
      <c r="I31" s="39" t="n"/>
      <c r="J31" s="42" t="n"/>
      <c r="K31" s="39" t="n"/>
    </row>
    <row r="32" ht="32" customHeight="1">
      <c r="A32" s="37" t="n"/>
      <c r="B32" s="38" t="n"/>
      <c r="C32" s="39" t="n"/>
      <c r="D32" s="39" t="n"/>
      <c r="E32" s="40" t="n"/>
      <c r="F32" s="40" t="n"/>
      <c r="G32" s="41" t="n"/>
      <c r="H32" s="41" t="n"/>
      <c r="I32" s="39" t="n"/>
      <c r="J32" s="42" t="n"/>
      <c r="K32" s="39" t="n"/>
    </row>
    <row r="33" ht="32" customHeight="1">
      <c r="A33" s="37" t="n"/>
      <c r="B33" s="38" t="n"/>
      <c r="C33" s="39" t="n"/>
      <c r="D33" s="39" t="n"/>
      <c r="E33" s="40" t="n"/>
      <c r="F33" s="40" t="n"/>
      <c r="G33" s="41" t="n"/>
      <c r="H33" s="41" t="n"/>
      <c r="I33" s="39" t="n"/>
      <c r="J33" s="42" t="n"/>
      <c r="K33" s="39" t="n"/>
    </row>
    <row r="34" ht="32" customHeight="1">
      <c r="A34" s="37" t="n"/>
      <c r="B34" s="38" t="n"/>
      <c r="C34" s="39" t="n"/>
      <c r="D34" s="39" t="n"/>
      <c r="E34" s="40" t="n"/>
      <c r="F34" s="40" t="n"/>
      <c r="G34" s="41" t="n"/>
      <c r="H34" s="41" t="n"/>
      <c r="I34" s="39" t="n"/>
      <c r="J34" s="42" t="n"/>
      <c r="K34" s="39" t="n"/>
    </row>
    <row r="35" ht="32" customHeight="1">
      <c r="A35" s="37" t="n"/>
      <c r="B35" s="38" t="n"/>
      <c r="C35" s="39" t="n"/>
      <c r="D35" s="39" t="n"/>
      <c r="E35" s="40" t="n"/>
      <c r="F35" s="40" t="n"/>
      <c r="G35" s="41" t="n"/>
      <c r="H35" s="41" t="n"/>
      <c r="I35" s="39" t="n"/>
      <c r="J35" s="42" t="n"/>
      <c r="K35" s="39" t="n"/>
    </row>
    <row r="36" ht="32" customHeight="1">
      <c r="A36" s="37" t="n"/>
      <c r="B36" s="38" t="n"/>
      <c r="C36" s="39" t="n"/>
      <c r="D36" s="39" t="n"/>
      <c r="E36" s="40" t="n"/>
      <c r="F36" s="40" t="n"/>
      <c r="G36" s="41" t="n"/>
      <c r="H36" s="41" t="n"/>
      <c r="I36" s="39" t="n"/>
      <c r="J36" s="42" t="n"/>
      <c r="K36" s="39" t="n"/>
    </row>
    <row r="37" ht="32" customHeight="1">
      <c r="A37" s="37" t="n"/>
      <c r="B37" s="38" t="n"/>
      <c r="C37" s="39" t="n"/>
      <c r="D37" s="39" t="n"/>
      <c r="E37" s="40" t="n"/>
      <c r="F37" s="40" t="n"/>
      <c r="G37" s="41" t="n"/>
      <c r="H37" s="41" t="n"/>
      <c r="I37" s="39" t="n"/>
      <c r="J37" s="42" t="n"/>
      <c r="K37" s="39" t="n"/>
    </row>
    <row r="38" ht="32" customHeight="1">
      <c r="A38" s="37" t="n"/>
      <c r="B38" s="38" t="n"/>
      <c r="C38" s="39" t="n"/>
      <c r="D38" s="39" t="n"/>
      <c r="E38" s="40" t="n"/>
      <c r="F38" s="40" t="n"/>
      <c r="G38" s="41" t="n"/>
      <c r="H38" s="41" t="n"/>
      <c r="I38" s="39" t="n"/>
      <c r="J38" s="42" t="n"/>
      <c r="K38" s="39" t="n"/>
    </row>
    <row r="39" ht="32" customHeight="1">
      <c r="A39" s="37" t="n"/>
      <c r="B39" s="38" t="n"/>
      <c r="C39" s="39" t="n"/>
      <c r="D39" s="39" t="n"/>
      <c r="E39" s="40" t="n"/>
      <c r="F39" s="40" t="n"/>
      <c r="G39" s="41" t="n"/>
      <c r="H39" s="41" t="n"/>
      <c r="I39" s="39" t="n"/>
      <c r="J39" s="42" t="n"/>
      <c r="K39" s="39" t="n"/>
    </row>
    <row r="40" ht="32" customHeight="1">
      <c r="A40" s="37" t="n"/>
      <c r="B40" s="38" t="n"/>
      <c r="C40" s="39" t="n"/>
      <c r="D40" s="39" t="n"/>
      <c r="E40" s="40" t="n"/>
      <c r="F40" s="40" t="n"/>
      <c r="G40" s="41" t="n"/>
      <c r="H40" s="41" t="n"/>
      <c r="I40" s="39" t="n"/>
      <c r="J40" s="42" t="n"/>
      <c r="K40" s="39" t="n"/>
    </row>
    <row r="41" ht="32" customHeight="1">
      <c r="A41" s="37" t="n"/>
      <c r="B41" s="38" t="n"/>
      <c r="C41" s="39" t="n"/>
      <c r="D41" s="39" t="n"/>
      <c r="E41" s="40" t="n"/>
      <c r="F41" s="40" t="n"/>
      <c r="G41" s="41" t="n"/>
      <c r="H41" s="41" t="n"/>
      <c r="I41" s="39" t="n"/>
      <c r="J41" s="42" t="n"/>
      <c r="K41" s="39" t="n"/>
    </row>
    <row r="42" ht="32" customHeight="1">
      <c r="A42" s="37" t="n"/>
      <c r="B42" s="38" t="n"/>
      <c r="C42" s="39" t="n"/>
      <c r="D42" s="39" t="n"/>
      <c r="E42" s="40" t="n"/>
      <c r="F42" s="40" t="n"/>
      <c r="G42" s="41" t="n"/>
      <c r="H42" s="41" t="n"/>
      <c r="I42" s="39" t="n"/>
      <c r="J42" s="42" t="n"/>
      <c r="K42" s="39" t="n"/>
    </row>
    <row r="43" ht="32" customHeight="1">
      <c r="A43" s="37" t="n"/>
      <c r="B43" s="38" t="n"/>
      <c r="C43" s="39" t="n"/>
      <c r="D43" s="39" t="n"/>
      <c r="E43" s="40" t="n"/>
      <c r="F43" s="40" t="n"/>
      <c r="G43" s="41" t="n"/>
      <c r="H43" s="41" t="n"/>
      <c r="I43" s="39" t="n"/>
      <c r="J43" s="42" t="n"/>
      <c r="K43" s="39" t="n"/>
    </row>
    <row r="44" ht="32" customHeight="1">
      <c r="A44" s="37" t="n"/>
      <c r="B44" s="38" t="n"/>
      <c r="C44" s="39" t="n"/>
      <c r="D44" s="39" t="n"/>
      <c r="E44" s="40" t="n"/>
      <c r="F44" s="40" t="n"/>
      <c r="G44" s="41" t="n"/>
      <c r="H44" s="41" t="n"/>
      <c r="I44" s="39" t="n"/>
      <c r="J44" s="42" t="n"/>
      <c r="K44" s="39" t="n"/>
    </row>
    <row r="45" ht="32" customHeight="1">
      <c r="A45" s="37" t="n"/>
      <c r="B45" s="38" t="n"/>
      <c r="C45" s="39" t="n"/>
      <c r="D45" s="39" t="n"/>
      <c r="E45" s="40" t="n"/>
      <c r="F45" s="40" t="n"/>
      <c r="G45" s="41" t="n"/>
      <c r="H45" s="41" t="n"/>
      <c r="I45" s="39" t="n"/>
      <c r="J45" s="42" t="n"/>
      <c r="K45" s="39" t="n"/>
    </row>
    <row r="46" ht="32" customHeight="1">
      <c r="A46" s="37" t="n"/>
      <c r="B46" s="38" t="n"/>
      <c r="C46" s="39" t="n"/>
      <c r="D46" s="39" t="n"/>
      <c r="E46" s="40" t="n"/>
      <c r="F46" s="40" t="n"/>
      <c r="G46" s="41" t="n"/>
      <c r="H46" s="41" t="n"/>
      <c r="I46" s="39" t="n"/>
      <c r="J46" s="42" t="n"/>
      <c r="K46" s="39" t="n"/>
    </row>
    <row r="47" ht="32" customHeight="1">
      <c r="A47" s="37" t="n"/>
      <c r="B47" s="38" t="n"/>
      <c r="C47" s="39" t="n"/>
      <c r="D47" s="39" t="n"/>
      <c r="E47" s="40" t="n"/>
      <c r="F47" s="40" t="n"/>
      <c r="G47" s="41" t="n"/>
      <c r="H47" s="41" t="n"/>
      <c r="I47" s="39" t="n"/>
      <c r="J47" s="42" t="n"/>
      <c r="K47" s="39" t="n"/>
    </row>
    <row r="48" ht="32" customHeight="1">
      <c r="A48" s="37" t="n"/>
      <c r="B48" s="38" t="n"/>
      <c r="C48" s="39" t="n"/>
      <c r="D48" s="39" t="n"/>
      <c r="E48" s="40" t="n"/>
      <c r="F48" s="40" t="n"/>
      <c r="G48" s="41" t="n"/>
      <c r="H48" s="41" t="n"/>
      <c r="I48" s="39" t="n"/>
      <c r="J48" s="42" t="n"/>
      <c r="K48" s="39" t="n"/>
    </row>
    <row r="49" ht="32" customHeight="1">
      <c r="A49" s="37" t="n"/>
      <c r="B49" s="38" t="n"/>
      <c r="C49" s="39" t="n"/>
      <c r="D49" s="39" t="n"/>
      <c r="E49" s="40" t="n"/>
      <c r="F49" s="40" t="n"/>
      <c r="G49" s="41" t="n"/>
      <c r="H49" s="41" t="n"/>
      <c r="I49" s="39" t="n"/>
      <c r="J49" s="42" t="n"/>
      <c r="K49" s="39" t="n"/>
    </row>
    <row r="50" ht="32" customHeight="1">
      <c r="A50" s="37" t="n"/>
      <c r="B50" s="38" t="n"/>
      <c r="C50" s="39" t="n"/>
      <c r="D50" s="39" t="n"/>
      <c r="E50" s="40" t="n"/>
      <c r="F50" s="40" t="n"/>
      <c r="G50" s="41" t="n"/>
      <c r="H50" s="41" t="n"/>
      <c r="I50" s="39" t="n"/>
      <c r="J50" s="42" t="n"/>
      <c r="K50" s="39" t="n"/>
    </row>
    <row r="51" ht="32" customHeight="1">
      <c r="A51" s="37" t="n"/>
      <c r="B51" s="38" t="n"/>
      <c r="C51" s="39" t="n"/>
      <c r="D51" s="39" t="n"/>
      <c r="E51" s="40" t="n"/>
      <c r="F51" s="40" t="n"/>
      <c r="G51" s="41" t="n"/>
      <c r="H51" s="41" t="n"/>
      <c r="I51" s="39" t="n"/>
      <c r="J51" s="42" t="n"/>
      <c r="K51" s="39" t="n"/>
    </row>
    <row r="52" ht="32" customHeight="1">
      <c r="A52" s="37" t="n"/>
      <c r="B52" s="38" t="n"/>
      <c r="C52" s="39" t="n"/>
      <c r="D52" s="39" t="n"/>
      <c r="E52" s="40" t="n"/>
      <c r="F52" s="40" t="n"/>
      <c r="G52" s="41" t="n"/>
      <c r="H52" s="41" t="n"/>
      <c r="I52" s="39" t="n"/>
      <c r="J52" s="42" t="n"/>
      <c r="K52" s="39" t="n"/>
    </row>
    <row r="53" ht="32" customHeight="1">
      <c r="A53" s="37" t="n"/>
      <c r="B53" s="38" t="n"/>
      <c r="C53" s="39" t="n"/>
      <c r="D53" s="39" t="n"/>
      <c r="E53" s="40" t="n"/>
      <c r="F53" s="40" t="n"/>
      <c r="G53" s="41" t="n"/>
      <c r="H53" s="41" t="n"/>
      <c r="I53" s="39" t="n"/>
      <c r="J53" s="42" t="n"/>
      <c r="K53" s="39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</row>
    <row r="80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</row>
    <row r="8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</row>
    <row r="82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</row>
    <row r="83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</row>
    <row r="84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</row>
    <row r="85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</row>
    <row r="86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</row>
    <row r="8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</row>
    <row r="8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</row>
    <row r="90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</row>
    <row r="9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</row>
    <row r="92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</row>
    <row r="93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</row>
    <row r="94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</row>
    <row r="95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</row>
    <row r="96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</row>
    <row r="97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</row>
    <row r="9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</row>
    <row r="9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</row>
    <row r="100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</row>
    <row r="10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</row>
    <row r="102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</row>
    <row r="103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</row>
    <row r="104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</row>
    <row r="105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</row>
    <row r="106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</row>
    <row r="107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</row>
    <row r="10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</row>
    <row r="10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</row>
    <row r="110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</row>
    <row r="11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</row>
    <row r="112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</row>
    <row r="113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</row>
    <row r="114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</row>
    <row r="115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</row>
    <row r="116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</row>
    <row r="117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</row>
    <row r="11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</row>
    <row r="11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</row>
    <row r="120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</row>
    <row r="12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</row>
    <row r="122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</row>
    <row r="123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</row>
    <row r="124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</row>
    <row r="125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</row>
    <row r="126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</row>
    <row r="127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</row>
    <row r="1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</row>
    <row r="12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</row>
    <row r="130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</row>
    <row r="1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</row>
    <row r="132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</row>
    <row r="133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</row>
    <row r="134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</row>
    <row r="135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</row>
    <row r="136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</row>
    <row r="137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</row>
    <row r="13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</row>
    <row r="13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</row>
    <row r="140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</row>
    <row r="14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</row>
    <row r="142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</row>
    <row r="143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</row>
    <row r="144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</row>
    <row r="145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</row>
    <row r="146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</row>
    <row r="147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</row>
    <row r="14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</row>
    <row r="14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</row>
    <row r="150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</row>
    <row r="15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</row>
    <row r="152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</row>
    <row r="153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</row>
    <row r="154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</row>
    <row r="155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</row>
    <row r="156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</row>
    <row r="157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</row>
    <row r="15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</row>
    <row r="1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</row>
    <row r="160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</row>
    <row r="16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</row>
    <row r="162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</row>
    <row r="163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</row>
    <row r="164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</row>
    <row r="165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</row>
    <row r="166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</row>
    <row r="167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</row>
    <row r="16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</row>
    <row r="16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</row>
    <row r="170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</row>
    <row r="17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</row>
    <row r="172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</row>
    <row r="173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</row>
    <row r="174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</row>
    <row r="175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</row>
    <row r="176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</row>
    <row r="177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</row>
    <row r="17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</row>
    <row r="17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</row>
    <row r="180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</row>
    <row r="18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</row>
    <row r="182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</row>
    <row r="183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</row>
    <row r="184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</row>
    <row r="185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</row>
    <row r="186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</row>
    <row r="187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</row>
    <row r="18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</row>
    <row r="18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</row>
    <row r="190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</row>
    <row r="19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</row>
    <row r="192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</row>
    <row r="193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</row>
    <row r="194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</row>
    <row r="195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</row>
    <row r="196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</row>
    <row r="197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</row>
    <row r="19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</row>
    <row r="19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</row>
    <row r="200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</row>
    <row r="20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</row>
    <row r="202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</row>
    <row r="203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</row>
    <row r="204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</row>
    <row r="205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</row>
    <row r="206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</row>
    <row r="207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</row>
    <row r="20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</row>
    <row r="20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</row>
    <row r="210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</row>
    <row r="21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</row>
    <row r="212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</row>
    <row r="213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</row>
    <row r="214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</row>
    <row r="215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</row>
    <row r="216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</row>
    <row r="21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</row>
    <row r="21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</row>
    <row r="21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</row>
    <row r="220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</row>
    <row r="22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</row>
    <row r="222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</row>
    <row r="223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</row>
    <row r="224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</row>
    <row r="225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</row>
    <row r="226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</row>
    <row r="227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</row>
    <row r="2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</row>
    <row r="22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</row>
    <row r="230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</row>
    <row r="2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</row>
    <row r="232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</row>
    <row r="233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</row>
    <row r="234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</row>
    <row r="235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</row>
    <row r="236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</row>
    <row r="237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</row>
    <row r="23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</row>
    <row r="23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</row>
    <row r="240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</row>
    <row r="2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</row>
    <row r="242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</row>
    <row r="243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</row>
    <row r="244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</row>
    <row r="245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</row>
    <row r="246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</row>
    <row r="247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</row>
    <row r="24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</row>
    <row r="24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</row>
    <row r="250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</row>
    <row r="25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</row>
    <row r="252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</row>
    <row r="253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</row>
    <row r="254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</row>
    <row r="255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</row>
    <row r="256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</row>
    <row r="257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</row>
    <row r="25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</row>
    <row r="2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</row>
    <row r="260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</row>
    <row r="26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</row>
    <row r="262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</row>
    <row r="263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</row>
    <row r="264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</row>
    <row r="265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</row>
    <row r="266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</row>
    <row r="267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</row>
    <row r="26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</row>
    <row r="26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</row>
    <row r="270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</row>
    <row r="2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</row>
    <row r="272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</row>
    <row r="273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</row>
    <row r="274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</row>
    <row r="275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</row>
    <row r="276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</row>
    <row r="277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</row>
    <row r="27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</row>
    <row r="27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</row>
    <row r="280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</row>
    <row r="28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</row>
    <row r="282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</row>
    <row r="283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</row>
    <row r="284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</row>
    <row r="285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</row>
    <row r="286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</row>
    <row r="287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</row>
    <row r="28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</row>
    <row r="28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</row>
    <row r="290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</row>
    <row r="29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</row>
    <row r="292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</row>
    <row r="293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</row>
    <row r="294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</row>
    <row r="295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</row>
    <row r="296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</row>
    <row r="297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</row>
    <row r="29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</row>
    <row r="29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</row>
    <row r="300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</row>
    <row r="30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</row>
    <row r="302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</row>
    <row r="303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</row>
    <row r="304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</row>
    <row r="305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</row>
    <row r="306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</row>
    <row r="307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</row>
    <row r="30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</row>
    <row r="30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</row>
    <row r="310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</row>
    <row r="31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</row>
    <row r="312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</row>
    <row r="313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</row>
    <row r="314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</row>
    <row r="315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</row>
    <row r="316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</row>
    <row r="317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</row>
    <row r="31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</row>
    <row r="31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</row>
    <row r="320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</row>
    <row r="32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</row>
    <row r="322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</row>
    <row r="323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</row>
    <row r="324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</row>
    <row r="325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</row>
    <row r="326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</row>
    <row r="327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</row>
    <row r="3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</row>
    <row r="32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</row>
    <row r="330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</row>
    <row r="3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</row>
    <row r="332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</row>
    <row r="333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</row>
    <row r="334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</row>
    <row r="335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</row>
    <row r="336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</row>
    <row r="337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</row>
    <row r="33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</row>
    <row r="33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</row>
  </sheetData>
  <mergeCells count="5">
    <mergeCell ref="D1:E1"/>
    <mergeCell ref="H1:I1"/>
    <mergeCell ref="J1:K1"/>
    <mergeCell ref="A1:B1"/>
    <mergeCell ref="F1:G1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047857"/>
    <outlinePr summaryBelow="1" summaryRight="1"/>
    <pageSetUpPr/>
  </sheetPr>
  <dimension ref="A1:K339"/>
  <sheetViews>
    <sheetView showGridLines="0" showRowColHeaders="0" tabSelected="0" zoomScale="10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5" customWidth="1" min="3" max="3"/>
    <col width="17" customWidth="1" min="4" max="4"/>
    <col width="30" customWidth="1" min="5" max="5"/>
    <col width="8" customWidth="1" min="6" max="6"/>
    <col width="11" customWidth="1" min="7" max="7"/>
    <col width="13" customWidth="1" min="8" max="8"/>
    <col hidden="1" width="12" customWidth="1" min="9" max="9"/>
    <col hidden="1" width="16" customWidth="1" min="10" max="10"/>
    <col hidden="1" width="8" customWidth="1" min="11" max="11"/>
  </cols>
  <sheetData>
    <row r="1" ht="40" customHeight="1">
      <c r="A1" s="1">
        <f>HYPERLINK("#'Dashboard'!A1","🏠 Home")</f>
        <v/>
      </c>
      <c r="C1" s="1">
        <f>HYPERLINK("#'Item Master'!A1","📦 Items")</f>
        <v/>
      </c>
      <c r="D1" s="1">
        <f>HYPERLINK("#'Log Sale'!A1","🛒 New Sale")</f>
        <v/>
      </c>
      <c r="E1" s="1">
        <f>HYPERLINK("#'Stock In'!A1","📥 Stock In")</f>
        <v/>
      </c>
      <c r="F1" s="1">
        <f>HYPERLINK("#'Invoice Generator'!A1","🧾 Invoice")</f>
        <v/>
      </c>
      <c r="H1" s="1">
        <f>HYPERLINK("#'Sales Log'!A1","📊 Logs")</f>
        <v/>
      </c>
      <c r="I1" s="15" t="n"/>
      <c r="J1" s="15" t="n"/>
      <c r="K1" s="15" t="n"/>
    </row>
    <row r="2" ht="6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</row>
    <row r="4" ht="20" customHeight="1">
      <c r="A4" s="16" t="inlineStr">
        <is>
          <t>POINT OF SALE</t>
        </is>
      </c>
      <c r="I4" s="3" t="n"/>
      <c r="J4" s="3" t="n"/>
      <c r="K4" s="3" t="n"/>
    </row>
    <row r="5" ht="34" customHeight="1">
      <c r="A5" s="17" t="inlineStr">
        <is>
          <t>🛒 New Sale</t>
        </is>
      </c>
      <c r="I5" s="3" t="n"/>
      <c r="J5" s="3" t="n"/>
      <c r="K5" s="3" t="n"/>
    </row>
    <row r="6" ht="20" customHeight="1">
      <c r="A6" s="18" t="inlineStr">
        <is>
          <t>Tick 🆕 · scan or pick the item · type the quantity. That is the entire sale.</t>
        </is>
      </c>
      <c r="I6" s="3" t="n"/>
      <c r="J6" s="3" t="n"/>
      <c r="K6" s="3" t="n"/>
    </row>
    <row r="7" ht="46" customHeight="1">
      <c r="A7" s="43">
        <f>"🧾  "&amp;IF(IFERROR(INDEX('Sales Log'!$A$8:$A$107,MAX(1,COUNTIF('Sales Log'!$A$8:$A$107,"?*"))),"")="","— no sales yet —",IFERROR(INDEX('Sales Log'!$A$8:$A$107,MAX(1,COUNTIF('Sales Log'!$A$8:$A$107,"?*"))),""))</f>
        <v/>
      </c>
      <c r="B7" s="20" t="n"/>
      <c r="C7" s="20" t="n"/>
      <c r="D7" s="44">
        <f>IF(IFERROR(INDEX('Sales Log'!$A$8:$A$107,MAX(1,COUNTIF('Sales Log'!$A$8:$A$107,"?*"))),"")="",0,COUNTIF('Log Sale'!$C$9:$C$308,IFERROR(INDEX('Sales Log'!$A$8:$A$107,MAX(1,COUNTIF('Sales Log'!$A$8:$A$107,"?*"))),"")))</f>
        <v/>
      </c>
      <c r="E7" s="20" t="n"/>
      <c r="F7" s="44">
        <f>IF(IFERROR(INDEX('Sales Log'!$A$8:$A$107,MAX(1,COUNTIF('Sales Log'!$A$8:$A$107,"?*"))),"")="",0,SUMIF('Log Sale'!$C$9:$C$308,IFERROR(INDEX('Sales Log'!$A$8:$A$107,MAX(1,COUNTIF('Sales Log'!$A$8:$A$107,"?*"))),""),'Log Sale'!$K$9:$K$308))</f>
        <v/>
      </c>
      <c r="G7" s="20" t="n"/>
      <c r="H7" s="45">
        <f>IF(IFERROR(INDEX('Sales Log'!$A$8:$A$107,MAX(1,COUNTIF('Sales Log'!$A$8:$A$107,"?*"))),"")="",0,SUMIF('Log Sale'!$C$9:$C$308,IFERROR(INDEX('Sales Log'!$A$8:$A$107,MAX(1,COUNTIF('Sales Log'!$A$8:$A$107,"?*"))),""),'Log Sale'!$H$9:$H$308))</f>
        <v/>
      </c>
      <c r="I7" s="3" t="n"/>
      <c r="J7" s="3" t="n"/>
      <c r="K7" s="3" t="n"/>
    </row>
    <row r="8" ht="38" customHeight="1">
      <c r="A8" s="29" t="inlineStr">
        <is>
          <t>🆕</t>
        </is>
      </c>
      <c r="B8" s="29" t="inlineStr">
        <is>
          <t>📅 Date</t>
        </is>
      </c>
      <c r="C8" s="29" t="inlineStr">
        <is>
          <t>🧾 Invoice No</t>
        </is>
      </c>
      <c r="D8" s="29" t="inlineStr">
        <is>
          <t>🔎 SKU / Scan</t>
        </is>
      </c>
      <c r="E8" s="29" t="inlineStr">
        <is>
          <t>📦 Product</t>
        </is>
      </c>
      <c r="F8" s="29" t="inlineStr">
        <is>
          <t>🔢 Qty</t>
        </is>
      </c>
      <c r="G8" s="29" t="inlineStr">
        <is>
          <t>💲 Price</t>
        </is>
      </c>
      <c r="H8" s="29" t="inlineStr">
        <is>
          <t>💵 Line Total</t>
        </is>
      </c>
      <c r="I8" s="29" t="inlineStr">
        <is>
          <t>_SKU</t>
        </is>
      </c>
      <c r="J8" s="29" t="inlineStr">
        <is>
          <t>_Key</t>
        </is>
      </c>
      <c r="K8" s="29" t="inlineStr">
        <is>
          <t>_Qty</t>
        </is>
      </c>
    </row>
    <row r="9" ht="32" customHeight="1">
      <c r="A9" s="46" t="inlineStr">
        <is>
          <t>x</t>
        </is>
      </c>
      <c r="B9" s="47" t="n">
        <v>46239</v>
      </c>
      <c r="C9" s="48">
        <f>IF($D9="","",IF(OR($A9="x",ROW()=9),Settings!$C$14&amp;TEXT(1000+COUNTIF($A$9:$A9,"x")+IF($A$9&lt;&gt;"x",1,0),"0000"),$C8))</f>
        <v/>
      </c>
      <c r="D9" s="46" t="inlineStr">
        <is>
          <t>LAV-001</t>
        </is>
      </c>
      <c r="E9" s="31">
        <f>IF($D9="","",IF($I9="","⚠️ Unknown code",_xlfn.XLOOKUP($I9,'Item Master'!$A$4:$A$53,'Item Master'!$C$4:$C$53,"")))</f>
        <v/>
      </c>
      <c r="F9" s="49" t="n">
        <v>2</v>
      </c>
      <c r="G9" s="36">
        <f>IF($I9="","",_xlfn.XLOOKUP($I9,'Item Master'!$A$4:$A$53,'Item Master'!$F$4:$F$53,0))</f>
        <v/>
      </c>
      <c r="H9" s="50">
        <f>IF($I9="","",$K9*$G9)</f>
        <v/>
      </c>
      <c r="I9" s="51">
        <f>IF($D9="","",IF(COUNTIF('Item Master'!$A$4:$A$53,$D9)&gt;0,$D9,_xlfn.XLOOKUP($D9,'Item Master'!$B$4:$B$53,'Item Master'!$A$4:$A$53,"")))</f>
        <v/>
      </c>
      <c r="J9" s="51">
        <f>IF($I9="","",$C9&amp;"|"&amp;COUNTIFS($C$9:$C9,$C9,$I$9:$I9,"?*"))</f>
        <v/>
      </c>
      <c r="K9" s="52">
        <f>IF($I9="","",IF($F9="",1,$F9))</f>
        <v/>
      </c>
    </row>
    <row r="10" ht="32" customHeight="1">
      <c r="A10" s="46" t="n"/>
      <c r="B10" s="47" t="n">
        <v>46239</v>
      </c>
      <c r="C10" s="48">
        <f>IF($D10="","",IF(OR($A10="x",ROW()=9),Settings!$C$14&amp;TEXT(1000+COUNTIF($A$9:$A10,"x")+IF($A$9&lt;&gt;"x",1,0),"0000"),$C9))</f>
        <v/>
      </c>
      <c r="D10" s="46" t="inlineStr">
        <is>
          <t>CER-014</t>
        </is>
      </c>
      <c r="E10" s="31">
        <f>IF($D10="","",IF($I10="","⚠️ Unknown code",_xlfn.XLOOKUP($I10,'Item Master'!$A$4:$A$53,'Item Master'!$C$4:$C$53,"")))</f>
        <v/>
      </c>
      <c r="F10" s="49" t="n">
        <v>3</v>
      </c>
      <c r="G10" s="36">
        <f>IF($I10="","",_xlfn.XLOOKUP($I10,'Item Master'!$A$4:$A$53,'Item Master'!$F$4:$F$53,0))</f>
        <v/>
      </c>
      <c r="H10" s="50">
        <f>IF($I10="","",$K10*$G10)</f>
        <v/>
      </c>
      <c r="I10" s="51">
        <f>IF($D10="","",IF(COUNTIF('Item Master'!$A$4:$A$53,$D10)&gt;0,$D10,_xlfn.XLOOKUP($D10,'Item Master'!$B$4:$B$53,'Item Master'!$A$4:$A$53,"")))</f>
        <v/>
      </c>
      <c r="J10" s="51">
        <f>IF($I10="","",$C10&amp;"|"&amp;COUNTIFS($C$9:$C10,$C10,$I$9:$I10,"?*"))</f>
        <v/>
      </c>
      <c r="K10" s="52">
        <f>IF($I10="","",IF($F10="",1,$F10))</f>
        <v/>
      </c>
    </row>
    <row r="11" ht="32" customHeight="1">
      <c r="A11" s="46" t="n"/>
      <c r="B11" s="47" t="n">
        <v>46239</v>
      </c>
      <c r="C11" s="48">
        <f>IF($D11="","",IF(OR($A11="x",ROW()=9),Settings!$C$14&amp;TEXT(1000+COUNTIF($A$9:$A11,"x")+IF($A$9&lt;&gt;"x",1,0),"0000"),$C10))</f>
        <v/>
      </c>
      <c r="D11" s="46" t="inlineStr">
        <is>
          <t>JRN-002</t>
        </is>
      </c>
      <c r="E11" s="31">
        <f>IF($D11="","",IF($I11="","⚠️ Unknown code",_xlfn.XLOOKUP($I11,'Item Master'!$A$4:$A$53,'Item Master'!$C$4:$C$53,"")))</f>
        <v/>
      </c>
      <c r="F11" s="49" t="n">
        <v>1</v>
      </c>
      <c r="G11" s="36">
        <f>IF($I11="","",_xlfn.XLOOKUP($I11,'Item Master'!$A$4:$A$53,'Item Master'!$F$4:$F$53,0))</f>
        <v/>
      </c>
      <c r="H11" s="50">
        <f>IF($I11="","",$K11*$G11)</f>
        <v/>
      </c>
      <c r="I11" s="51">
        <f>IF($D11="","",IF(COUNTIF('Item Master'!$A$4:$A$53,$D11)&gt;0,$D11,_xlfn.XLOOKUP($D11,'Item Master'!$B$4:$B$53,'Item Master'!$A$4:$A$53,"")))</f>
        <v/>
      </c>
      <c r="J11" s="51">
        <f>IF($I11="","",$C11&amp;"|"&amp;COUNTIFS($C$9:$C11,$C11,$I$9:$I11,"?*"))</f>
        <v/>
      </c>
      <c r="K11" s="52">
        <f>IF($I11="","",IF($F11="",1,$F11))</f>
        <v/>
      </c>
    </row>
    <row r="12" ht="32" customHeight="1">
      <c r="A12" s="46" t="inlineStr">
        <is>
          <t>x</t>
        </is>
      </c>
      <c r="B12" s="47" t="n">
        <v>46241</v>
      </c>
      <c r="C12" s="48">
        <f>IF($D12="","",IF(OR($A12="x",ROW()=9),Settings!$C$14&amp;TEXT(1000+COUNTIF($A$9:$A12,"x")+IF($A$9&lt;&gt;"x",1,0),"0000"),$C11))</f>
        <v/>
      </c>
      <c r="D12" s="46" t="inlineStr">
        <is>
          <t>TOT-007</t>
        </is>
      </c>
      <c r="E12" s="31">
        <f>IF($D12="","",IF($I12="","⚠️ Unknown code",_xlfn.XLOOKUP($I12,'Item Master'!$A$4:$A$53,'Item Master'!$C$4:$C$53,"")))</f>
        <v/>
      </c>
      <c r="F12" s="49" t="n">
        <v>4</v>
      </c>
      <c r="G12" s="36">
        <f>IF($I12="","",_xlfn.XLOOKUP($I12,'Item Master'!$A$4:$A$53,'Item Master'!$F$4:$F$53,0))</f>
        <v/>
      </c>
      <c r="H12" s="50">
        <f>IF($I12="","",$K12*$G12)</f>
        <v/>
      </c>
      <c r="I12" s="51">
        <f>IF($D12="","",IF(COUNTIF('Item Master'!$A$4:$A$53,$D12)&gt;0,$D12,_xlfn.XLOOKUP($D12,'Item Master'!$B$4:$B$53,'Item Master'!$A$4:$A$53,"")))</f>
        <v/>
      </c>
      <c r="J12" s="51">
        <f>IF($I12="","",$C12&amp;"|"&amp;COUNTIFS($C$9:$C12,$C12,$I$9:$I12,"?*"))</f>
        <v/>
      </c>
      <c r="K12" s="52">
        <f>IF($I12="","",IF($F12="",1,$F12))</f>
        <v/>
      </c>
    </row>
    <row r="13" ht="32" customHeight="1">
      <c r="A13" s="46" t="n"/>
      <c r="B13" s="47" t="n">
        <v>46241</v>
      </c>
      <c r="C13" s="48">
        <f>IF($D13="","",IF(OR($A13="x",ROW()=9),Settings!$C$14&amp;TEXT(1000+COUNTIF($A$9:$A13,"x")+IF($A$9&lt;&gt;"x",1,0),"0000"),$C12))</f>
        <v/>
      </c>
      <c r="D13" s="46" t="inlineStr">
        <is>
          <t>TEA-009</t>
        </is>
      </c>
      <c r="E13" s="31">
        <f>IF($D13="","",IF($I13="","⚠️ Unknown code",_xlfn.XLOOKUP($I13,'Item Master'!$A$4:$A$53,'Item Master'!$C$4:$C$53,"")))</f>
        <v/>
      </c>
      <c r="F13" s="49" t="n">
        <v>2</v>
      </c>
      <c r="G13" s="36">
        <f>IF($I13="","",_xlfn.XLOOKUP($I13,'Item Master'!$A$4:$A$53,'Item Master'!$F$4:$F$53,0))</f>
        <v/>
      </c>
      <c r="H13" s="50">
        <f>IF($I13="","",$K13*$G13)</f>
        <v/>
      </c>
      <c r="I13" s="51">
        <f>IF($D13="","",IF(COUNTIF('Item Master'!$A$4:$A$53,$D13)&gt;0,$D13,_xlfn.XLOOKUP($D13,'Item Master'!$B$4:$B$53,'Item Master'!$A$4:$A$53,"")))</f>
        <v/>
      </c>
      <c r="J13" s="51">
        <f>IF($I13="","",$C13&amp;"|"&amp;COUNTIFS($C$9:$C13,$C13,$I$9:$I13,"?*"))</f>
        <v/>
      </c>
      <c r="K13" s="52">
        <f>IF($I13="","",IF($F13="",1,$F13))</f>
        <v/>
      </c>
    </row>
    <row r="14" ht="32" customHeight="1">
      <c r="A14" s="46" t="inlineStr">
        <is>
          <t>x</t>
        </is>
      </c>
      <c r="B14" s="47" t="n">
        <v>46243</v>
      </c>
      <c r="C14" s="48">
        <f>IF($D14="","",IF(OR($A14="x",ROW()=9),Settings!$C$14&amp;TEXT(1000+COUNTIF($A$9:$A14,"x")+IF($A$9&lt;&gt;"x",1,0),"0000"),$C13))</f>
        <v/>
      </c>
      <c r="D14" s="46" t="inlineStr">
        <is>
          <t>SKN-021</t>
        </is>
      </c>
      <c r="E14" s="31">
        <f>IF($D14="","",IF($I14="","⚠️ Unknown code",_xlfn.XLOOKUP($I14,'Item Master'!$A$4:$A$53,'Item Master'!$C$4:$C$53,"")))</f>
        <v/>
      </c>
      <c r="F14" s="49" t="n">
        <v>55</v>
      </c>
      <c r="G14" s="36">
        <f>IF($I14="","",_xlfn.XLOOKUP($I14,'Item Master'!$A$4:$A$53,'Item Master'!$F$4:$F$53,0))</f>
        <v/>
      </c>
      <c r="H14" s="50">
        <f>IF($I14="","",$K14*$G14)</f>
        <v/>
      </c>
      <c r="I14" s="51">
        <f>IF($D14="","",IF(COUNTIF('Item Master'!$A$4:$A$53,$D14)&gt;0,$D14,_xlfn.XLOOKUP($D14,'Item Master'!$B$4:$B$53,'Item Master'!$A$4:$A$53,"")))</f>
        <v/>
      </c>
      <c r="J14" s="51">
        <f>IF($I14="","",$C14&amp;"|"&amp;COUNTIFS($C$9:$C14,$C14,$I$9:$I14,"?*"))</f>
        <v/>
      </c>
      <c r="K14" s="52">
        <f>IF($I14="","",IF($F14="",1,$F14))</f>
        <v/>
      </c>
    </row>
    <row r="15" ht="32" customHeight="1">
      <c r="A15" s="46" t="inlineStr">
        <is>
          <t>x</t>
        </is>
      </c>
      <c r="B15" s="47" t="n">
        <v>46244</v>
      </c>
      <c r="C15" s="48">
        <f>IF($D15="","",IF(OR($A15="x",ROW()=9),Settings!$C$14&amp;TEXT(1000+COUNTIF($A$9:$A15,"x")+IF($A$9&lt;&gt;"x",1,0),"0000"),$C14))</f>
        <v/>
      </c>
      <c r="D15" s="46" t="inlineStr">
        <is>
          <t>LAV-001</t>
        </is>
      </c>
      <c r="E15" s="31">
        <f>IF($D15="","",IF($I15="","⚠️ Unknown code",_xlfn.XLOOKUP($I15,'Item Master'!$A$4:$A$53,'Item Master'!$C$4:$C$53,"")))</f>
        <v/>
      </c>
      <c r="F15" s="49" t="n">
        <v>88</v>
      </c>
      <c r="G15" s="36">
        <f>IF($I15="","",_xlfn.XLOOKUP($I15,'Item Master'!$A$4:$A$53,'Item Master'!$F$4:$F$53,0))</f>
        <v/>
      </c>
      <c r="H15" s="50">
        <f>IF($I15="","",$K15*$G15)</f>
        <v/>
      </c>
      <c r="I15" s="51">
        <f>IF($D15="","",IF(COUNTIF('Item Master'!$A$4:$A$53,$D15)&gt;0,$D15,_xlfn.XLOOKUP($D15,'Item Master'!$B$4:$B$53,'Item Master'!$A$4:$A$53,"")))</f>
        <v/>
      </c>
      <c r="J15" s="51">
        <f>IF($I15="","",$C15&amp;"|"&amp;COUNTIFS($C$9:$C15,$C15,$I$9:$I15,"?*"))</f>
        <v/>
      </c>
      <c r="K15" s="52">
        <f>IF($I15="","",IF($F15="",1,$F15))</f>
        <v/>
      </c>
    </row>
    <row r="16" ht="32" customHeight="1">
      <c r="A16" s="46" t="inlineStr">
        <is>
          <t>x</t>
        </is>
      </c>
      <c r="B16" s="47" t="n">
        <v>46246</v>
      </c>
      <c r="C16" s="48">
        <f>IF($D16="","",IF(OR($A16="x",ROW()=9),Settings!$C$14&amp;TEXT(1000+COUNTIF($A$9:$A16,"x")+IF($A$9&lt;&gt;"x",1,0),"0000"),$C15))</f>
        <v/>
      </c>
      <c r="D16" s="46" t="inlineStr">
        <is>
          <t>CER-014</t>
        </is>
      </c>
      <c r="E16" s="31">
        <f>IF($D16="","",IF($I16="","⚠️ Unknown code",_xlfn.XLOOKUP($I16,'Item Master'!$A$4:$A$53,'Item Master'!$C$4:$C$53,"")))</f>
        <v/>
      </c>
      <c r="F16" s="49" t="n">
        <v>12</v>
      </c>
      <c r="G16" s="36">
        <f>IF($I16="","",_xlfn.XLOOKUP($I16,'Item Master'!$A$4:$A$53,'Item Master'!$F$4:$F$53,0))</f>
        <v/>
      </c>
      <c r="H16" s="50">
        <f>IF($I16="","",$K16*$G16)</f>
        <v/>
      </c>
      <c r="I16" s="51">
        <f>IF($D16="","",IF(COUNTIF('Item Master'!$A$4:$A$53,$D16)&gt;0,$D16,_xlfn.XLOOKUP($D16,'Item Master'!$B$4:$B$53,'Item Master'!$A$4:$A$53,"")))</f>
        <v/>
      </c>
      <c r="J16" s="51">
        <f>IF($I16="","",$C16&amp;"|"&amp;COUNTIFS($C$9:$C16,$C16,$I$9:$I16,"?*"))</f>
        <v/>
      </c>
      <c r="K16" s="52">
        <f>IF($I16="","",IF($F16="",1,$F16))</f>
        <v/>
      </c>
    </row>
    <row r="17" ht="32" customHeight="1">
      <c r="A17" s="46" t="n"/>
      <c r="B17" s="47" t="n"/>
      <c r="C17" s="48">
        <f>IF($D17="","",IF(OR($A17="x",ROW()=9),Settings!$C$14&amp;TEXT(1000+COUNTIF($A$9:$A17,"x")+IF($A$9&lt;&gt;"x",1,0),"0000"),$C16))</f>
        <v/>
      </c>
      <c r="D17" s="46" t="n"/>
      <c r="E17" s="31">
        <f>IF($D17="","",IF($I17="","⚠️ Unknown code",_xlfn.XLOOKUP($I17,'Item Master'!$A$4:$A$53,'Item Master'!$C$4:$C$53,"")))</f>
        <v/>
      </c>
      <c r="F17" s="49" t="n"/>
      <c r="G17" s="36">
        <f>IF($I17="","",_xlfn.XLOOKUP($I17,'Item Master'!$A$4:$A$53,'Item Master'!$F$4:$F$53,0))</f>
        <v/>
      </c>
      <c r="H17" s="50">
        <f>IF($I17="","",$K17*$G17)</f>
        <v/>
      </c>
      <c r="I17" s="51">
        <f>IF($D17="","",IF(COUNTIF('Item Master'!$A$4:$A$53,$D17)&gt;0,$D17,_xlfn.XLOOKUP($D17,'Item Master'!$B$4:$B$53,'Item Master'!$A$4:$A$53,"")))</f>
        <v/>
      </c>
      <c r="J17" s="51">
        <f>IF($I17="","",$C17&amp;"|"&amp;COUNTIFS($C$9:$C17,$C17,$I$9:$I17,"?*"))</f>
        <v/>
      </c>
      <c r="K17" s="52">
        <f>IF($I17="","",IF($F17="",1,$F17))</f>
        <v/>
      </c>
    </row>
    <row r="18" ht="32" customHeight="1">
      <c r="A18" s="46" t="n"/>
      <c r="B18" s="47" t="n"/>
      <c r="C18" s="48">
        <f>IF($D18="","",IF(OR($A18="x",ROW()=9),Settings!$C$14&amp;TEXT(1000+COUNTIF($A$9:$A18,"x")+IF($A$9&lt;&gt;"x",1,0),"0000"),$C17))</f>
        <v/>
      </c>
      <c r="D18" s="46" t="n"/>
      <c r="E18" s="31">
        <f>IF($D18="","",IF($I18="","⚠️ Unknown code",_xlfn.XLOOKUP($I18,'Item Master'!$A$4:$A$53,'Item Master'!$C$4:$C$53,"")))</f>
        <v/>
      </c>
      <c r="F18" s="49" t="n"/>
      <c r="G18" s="36">
        <f>IF($I18="","",_xlfn.XLOOKUP($I18,'Item Master'!$A$4:$A$53,'Item Master'!$F$4:$F$53,0))</f>
        <v/>
      </c>
      <c r="H18" s="50">
        <f>IF($I18="","",$K18*$G18)</f>
        <v/>
      </c>
      <c r="I18" s="51">
        <f>IF($D18="","",IF(COUNTIF('Item Master'!$A$4:$A$53,$D18)&gt;0,$D18,_xlfn.XLOOKUP($D18,'Item Master'!$B$4:$B$53,'Item Master'!$A$4:$A$53,"")))</f>
        <v/>
      </c>
      <c r="J18" s="51">
        <f>IF($I18="","",$C18&amp;"|"&amp;COUNTIFS($C$9:$C18,$C18,$I$9:$I18,"?*"))</f>
        <v/>
      </c>
      <c r="K18" s="52">
        <f>IF($I18="","",IF($F18="",1,$F18))</f>
        <v/>
      </c>
    </row>
    <row r="19" ht="32" customHeight="1">
      <c r="A19" s="46" t="n"/>
      <c r="B19" s="47" t="n"/>
      <c r="C19" s="48">
        <f>IF($D19="","",IF(OR($A19="x",ROW()=9),Settings!$C$14&amp;TEXT(1000+COUNTIF($A$9:$A19,"x")+IF($A$9&lt;&gt;"x",1,0),"0000"),$C18))</f>
        <v/>
      </c>
      <c r="D19" s="46" t="n"/>
      <c r="E19" s="31">
        <f>IF($D19="","",IF($I19="","⚠️ Unknown code",_xlfn.XLOOKUP($I19,'Item Master'!$A$4:$A$53,'Item Master'!$C$4:$C$53,"")))</f>
        <v/>
      </c>
      <c r="F19" s="49" t="n"/>
      <c r="G19" s="36">
        <f>IF($I19="","",_xlfn.XLOOKUP($I19,'Item Master'!$A$4:$A$53,'Item Master'!$F$4:$F$53,0))</f>
        <v/>
      </c>
      <c r="H19" s="50">
        <f>IF($I19="","",$K19*$G19)</f>
        <v/>
      </c>
      <c r="I19" s="51">
        <f>IF($D19="","",IF(COUNTIF('Item Master'!$A$4:$A$53,$D19)&gt;0,$D19,_xlfn.XLOOKUP($D19,'Item Master'!$B$4:$B$53,'Item Master'!$A$4:$A$53,"")))</f>
        <v/>
      </c>
      <c r="J19" s="51">
        <f>IF($I19="","",$C19&amp;"|"&amp;COUNTIFS($C$9:$C19,$C19,$I$9:$I19,"?*"))</f>
        <v/>
      </c>
      <c r="K19" s="52">
        <f>IF($I19="","",IF($F19="",1,$F19))</f>
        <v/>
      </c>
    </row>
    <row r="20" ht="32" customHeight="1">
      <c r="A20" s="46" t="n"/>
      <c r="B20" s="47" t="n"/>
      <c r="C20" s="48">
        <f>IF($D20="","",IF(OR($A20="x",ROW()=9),Settings!$C$14&amp;TEXT(1000+COUNTIF($A$9:$A20,"x")+IF($A$9&lt;&gt;"x",1,0),"0000"),$C19))</f>
        <v/>
      </c>
      <c r="D20" s="46" t="n"/>
      <c r="E20" s="31">
        <f>IF($D20="","",IF($I20="","⚠️ Unknown code",_xlfn.XLOOKUP($I20,'Item Master'!$A$4:$A$53,'Item Master'!$C$4:$C$53,"")))</f>
        <v/>
      </c>
      <c r="F20" s="49" t="n"/>
      <c r="G20" s="36">
        <f>IF($I20="","",_xlfn.XLOOKUP($I20,'Item Master'!$A$4:$A$53,'Item Master'!$F$4:$F$53,0))</f>
        <v/>
      </c>
      <c r="H20" s="50">
        <f>IF($I20="","",$K20*$G20)</f>
        <v/>
      </c>
      <c r="I20" s="51">
        <f>IF($D20="","",IF(COUNTIF('Item Master'!$A$4:$A$53,$D20)&gt;0,$D20,_xlfn.XLOOKUP($D20,'Item Master'!$B$4:$B$53,'Item Master'!$A$4:$A$53,"")))</f>
        <v/>
      </c>
      <c r="J20" s="51">
        <f>IF($I20="","",$C20&amp;"|"&amp;COUNTIFS($C$9:$C20,$C20,$I$9:$I20,"?*"))</f>
        <v/>
      </c>
      <c r="K20" s="52">
        <f>IF($I20="","",IF($F20="",1,$F20))</f>
        <v/>
      </c>
    </row>
    <row r="21" ht="32" customHeight="1">
      <c r="A21" s="46" t="n"/>
      <c r="B21" s="47" t="n"/>
      <c r="C21" s="48">
        <f>IF($D21="","",IF(OR($A21="x",ROW()=9),Settings!$C$14&amp;TEXT(1000+COUNTIF($A$9:$A21,"x")+IF($A$9&lt;&gt;"x",1,0),"0000"),$C20))</f>
        <v/>
      </c>
      <c r="D21" s="46" t="n"/>
      <c r="E21" s="31">
        <f>IF($D21="","",IF($I21="","⚠️ Unknown code",_xlfn.XLOOKUP($I21,'Item Master'!$A$4:$A$53,'Item Master'!$C$4:$C$53,"")))</f>
        <v/>
      </c>
      <c r="F21" s="49" t="n"/>
      <c r="G21" s="36">
        <f>IF($I21="","",_xlfn.XLOOKUP($I21,'Item Master'!$A$4:$A$53,'Item Master'!$F$4:$F$53,0))</f>
        <v/>
      </c>
      <c r="H21" s="50">
        <f>IF($I21="","",$K21*$G21)</f>
        <v/>
      </c>
      <c r="I21" s="51">
        <f>IF($D21="","",IF(COUNTIF('Item Master'!$A$4:$A$53,$D21)&gt;0,$D21,_xlfn.XLOOKUP($D21,'Item Master'!$B$4:$B$53,'Item Master'!$A$4:$A$53,"")))</f>
        <v/>
      </c>
      <c r="J21" s="51">
        <f>IF($I21="","",$C21&amp;"|"&amp;COUNTIFS($C$9:$C21,$C21,$I$9:$I21,"?*"))</f>
        <v/>
      </c>
      <c r="K21" s="52">
        <f>IF($I21="","",IF($F21="",1,$F21))</f>
        <v/>
      </c>
    </row>
    <row r="22" ht="32" customHeight="1">
      <c r="A22" s="46" t="n"/>
      <c r="B22" s="47" t="n"/>
      <c r="C22" s="48">
        <f>IF($D22="","",IF(OR($A22="x",ROW()=9),Settings!$C$14&amp;TEXT(1000+COUNTIF($A$9:$A22,"x")+IF($A$9&lt;&gt;"x",1,0),"0000"),$C21))</f>
        <v/>
      </c>
      <c r="D22" s="46" t="n"/>
      <c r="E22" s="31">
        <f>IF($D22="","",IF($I22="","⚠️ Unknown code",_xlfn.XLOOKUP($I22,'Item Master'!$A$4:$A$53,'Item Master'!$C$4:$C$53,"")))</f>
        <v/>
      </c>
      <c r="F22" s="49" t="n"/>
      <c r="G22" s="36">
        <f>IF($I22="","",_xlfn.XLOOKUP($I22,'Item Master'!$A$4:$A$53,'Item Master'!$F$4:$F$53,0))</f>
        <v/>
      </c>
      <c r="H22" s="50">
        <f>IF($I22="","",$K22*$G22)</f>
        <v/>
      </c>
      <c r="I22" s="51">
        <f>IF($D22="","",IF(COUNTIF('Item Master'!$A$4:$A$53,$D22)&gt;0,$D22,_xlfn.XLOOKUP($D22,'Item Master'!$B$4:$B$53,'Item Master'!$A$4:$A$53,"")))</f>
        <v/>
      </c>
      <c r="J22" s="51">
        <f>IF($I22="","",$C22&amp;"|"&amp;COUNTIFS($C$9:$C22,$C22,$I$9:$I22,"?*"))</f>
        <v/>
      </c>
      <c r="K22" s="52">
        <f>IF($I22="","",IF($F22="",1,$F22))</f>
        <v/>
      </c>
    </row>
    <row r="23" ht="32" customHeight="1">
      <c r="A23" s="46" t="n"/>
      <c r="B23" s="47" t="n"/>
      <c r="C23" s="48">
        <f>IF($D23="","",IF(OR($A23="x",ROW()=9),Settings!$C$14&amp;TEXT(1000+COUNTIF($A$9:$A23,"x")+IF($A$9&lt;&gt;"x",1,0),"0000"),$C22))</f>
        <v/>
      </c>
      <c r="D23" s="46" t="n"/>
      <c r="E23" s="31">
        <f>IF($D23="","",IF($I23="","⚠️ Unknown code",_xlfn.XLOOKUP($I23,'Item Master'!$A$4:$A$53,'Item Master'!$C$4:$C$53,"")))</f>
        <v/>
      </c>
      <c r="F23" s="49" t="n"/>
      <c r="G23" s="36">
        <f>IF($I23="","",_xlfn.XLOOKUP($I23,'Item Master'!$A$4:$A$53,'Item Master'!$F$4:$F$53,0))</f>
        <v/>
      </c>
      <c r="H23" s="50">
        <f>IF($I23="","",$K23*$G23)</f>
        <v/>
      </c>
      <c r="I23" s="51">
        <f>IF($D23="","",IF(COUNTIF('Item Master'!$A$4:$A$53,$D23)&gt;0,$D23,_xlfn.XLOOKUP($D23,'Item Master'!$B$4:$B$53,'Item Master'!$A$4:$A$53,"")))</f>
        <v/>
      </c>
      <c r="J23" s="51">
        <f>IF($I23="","",$C23&amp;"|"&amp;COUNTIFS($C$9:$C23,$C23,$I$9:$I23,"?*"))</f>
        <v/>
      </c>
      <c r="K23" s="52">
        <f>IF($I23="","",IF($F23="",1,$F23))</f>
        <v/>
      </c>
    </row>
    <row r="24" ht="32" customHeight="1">
      <c r="A24" s="46" t="n"/>
      <c r="B24" s="47" t="n"/>
      <c r="C24" s="48">
        <f>IF($D24="","",IF(OR($A24="x",ROW()=9),Settings!$C$14&amp;TEXT(1000+COUNTIF($A$9:$A24,"x")+IF($A$9&lt;&gt;"x",1,0),"0000"),$C23))</f>
        <v/>
      </c>
      <c r="D24" s="46" t="n"/>
      <c r="E24" s="31">
        <f>IF($D24="","",IF($I24="","⚠️ Unknown code",_xlfn.XLOOKUP($I24,'Item Master'!$A$4:$A$53,'Item Master'!$C$4:$C$53,"")))</f>
        <v/>
      </c>
      <c r="F24" s="49" t="n"/>
      <c r="G24" s="36">
        <f>IF($I24="","",_xlfn.XLOOKUP($I24,'Item Master'!$A$4:$A$53,'Item Master'!$F$4:$F$53,0))</f>
        <v/>
      </c>
      <c r="H24" s="50">
        <f>IF($I24="","",$K24*$G24)</f>
        <v/>
      </c>
      <c r="I24" s="51">
        <f>IF($D24="","",IF(COUNTIF('Item Master'!$A$4:$A$53,$D24)&gt;0,$D24,_xlfn.XLOOKUP($D24,'Item Master'!$B$4:$B$53,'Item Master'!$A$4:$A$53,"")))</f>
        <v/>
      </c>
      <c r="J24" s="51">
        <f>IF($I24="","",$C24&amp;"|"&amp;COUNTIFS($C$9:$C24,$C24,$I$9:$I24,"?*"))</f>
        <v/>
      </c>
      <c r="K24" s="52">
        <f>IF($I24="","",IF($F24="",1,$F24))</f>
        <v/>
      </c>
    </row>
    <row r="25" ht="32" customHeight="1">
      <c r="A25" s="46" t="n"/>
      <c r="B25" s="47" t="n"/>
      <c r="C25" s="48">
        <f>IF($D25="","",IF(OR($A25="x",ROW()=9),Settings!$C$14&amp;TEXT(1000+COUNTIF($A$9:$A25,"x")+IF($A$9&lt;&gt;"x",1,0),"0000"),$C24))</f>
        <v/>
      </c>
      <c r="D25" s="46" t="n"/>
      <c r="E25" s="31">
        <f>IF($D25="","",IF($I25="","⚠️ Unknown code",_xlfn.XLOOKUP($I25,'Item Master'!$A$4:$A$53,'Item Master'!$C$4:$C$53,"")))</f>
        <v/>
      </c>
      <c r="F25" s="49" t="n"/>
      <c r="G25" s="36">
        <f>IF($I25="","",_xlfn.XLOOKUP($I25,'Item Master'!$A$4:$A$53,'Item Master'!$F$4:$F$53,0))</f>
        <v/>
      </c>
      <c r="H25" s="50">
        <f>IF($I25="","",$K25*$G25)</f>
        <v/>
      </c>
      <c r="I25" s="51">
        <f>IF($D25="","",IF(COUNTIF('Item Master'!$A$4:$A$53,$D25)&gt;0,$D25,_xlfn.XLOOKUP($D25,'Item Master'!$B$4:$B$53,'Item Master'!$A$4:$A$53,"")))</f>
        <v/>
      </c>
      <c r="J25" s="51">
        <f>IF($I25="","",$C25&amp;"|"&amp;COUNTIFS($C$9:$C25,$C25,$I$9:$I25,"?*"))</f>
        <v/>
      </c>
      <c r="K25" s="52">
        <f>IF($I25="","",IF($F25="",1,$F25))</f>
        <v/>
      </c>
    </row>
    <row r="26" ht="32" customHeight="1">
      <c r="A26" s="46" t="n"/>
      <c r="B26" s="47" t="n"/>
      <c r="C26" s="48">
        <f>IF($D26="","",IF(OR($A26="x",ROW()=9),Settings!$C$14&amp;TEXT(1000+COUNTIF($A$9:$A26,"x")+IF($A$9&lt;&gt;"x",1,0),"0000"),$C25))</f>
        <v/>
      </c>
      <c r="D26" s="46" t="n"/>
      <c r="E26" s="31">
        <f>IF($D26="","",IF($I26="","⚠️ Unknown code",_xlfn.XLOOKUP($I26,'Item Master'!$A$4:$A$53,'Item Master'!$C$4:$C$53,"")))</f>
        <v/>
      </c>
      <c r="F26" s="49" t="n"/>
      <c r="G26" s="36">
        <f>IF($I26="","",_xlfn.XLOOKUP($I26,'Item Master'!$A$4:$A$53,'Item Master'!$F$4:$F$53,0))</f>
        <v/>
      </c>
      <c r="H26" s="50">
        <f>IF($I26="","",$K26*$G26)</f>
        <v/>
      </c>
      <c r="I26" s="51">
        <f>IF($D26="","",IF(COUNTIF('Item Master'!$A$4:$A$53,$D26)&gt;0,$D26,_xlfn.XLOOKUP($D26,'Item Master'!$B$4:$B$53,'Item Master'!$A$4:$A$53,"")))</f>
        <v/>
      </c>
      <c r="J26" s="51">
        <f>IF($I26="","",$C26&amp;"|"&amp;COUNTIFS($C$9:$C26,$C26,$I$9:$I26,"?*"))</f>
        <v/>
      </c>
      <c r="K26" s="52">
        <f>IF($I26="","",IF($F26="",1,$F26))</f>
        <v/>
      </c>
    </row>
    <row r="27" ht="32" customHeight="1">
      <c r="A27" s="46" t="n"/>
      <c r="B27" s="47" t="n"/>
      <c r="C27" s="48">
        <f>IF($D27="","",IF(OR($A27="x",ROW()=9),Settings!$C$14&amp;TEXT(1000+COUNTIF($A$9:$A27,"x")+IF($A$9&lt;&gt;"x",1,0),"0000"),$C26))</f>
        <v/>
      </c>
      <c r="D27" s="46" t="n"/>
      <c r="E27" s="31">
        <f>IF($D27="","",IF($I27="","⚠️ Unknown code",_xlfn.XLOOKUP($I27,'Item Master'!$A$4:$A$53,'Item Master'!$C$4:$C$53,"")))</f>
        <v/>
      </c>
      <c r="F27" s="49" t="n"/>
      <c r="G27" s="36">
        <f>IF($I27="","",_xlfn.XLOOKUP($I27,'Item Master'!$A$4:$A$53,'Item Master'!$F$4:$F$53,0))</f>
        <v/>
      </c>
      <c r="H27" s="50">
        <f>IF($I27="","",$K27*$G27)</f>
        <v/>
      </c>
      <c r="I27" s="51">
        <f>IF($D27="","",IF(COUNTIF('Item Master'!$A$4:$A$53,$D27)&gt;0,$D27,_xlfn.XLOOKUP($D27,'Item Master'!$B$4:$B$53,'Item Master'!$A$4:$A$53,"")))</f>
        <v/>
      </c>
      <c r="J27" s="51">
        <f>IF($I27="","",$C27&amp;"|"&amp;COUNTIFS($C$9:$C27,$C27,$I$9:$I27,"?*"))</f>
        <v/>
      </c>
      <c r="K27" s="52">
        <f>IF($I27="","",IF($F27="",1,$F27))</f>
        <v/>
      </c>
    </row>
    <row r="28" ht="32" customHeight="1">
      <c r="A28" s="46" t="n"/>
      <c r="B28" s="47" t="n"/>
      <c r="C28" s="48">
        <f>IF($D28="","",IF(OR($A28="x",ROW()=9),Settings!$C$14&amp;TEXT(1000+COUNTIF($A$9:$A28,"x")+IF($A$9&lt;&gt;"x",1,0),"0000"),$C27))</f>
        <v/>
      </c>
      <c r="D28" s="46" t="n"/>
      <c r="E28" s="31">
        <f>IF($D28="","",IF($I28="","⚠️ Unknown code",_xlfn.XLOOKUP($I28,'Item Master'!$A$4:$A$53,'Item Master'!$C$4:$C$53,"")))</f>
        <v/>
      </c>
      <c r="F28" s="49" t="n"/>
      <c r="G28" s="36">
        <f>IF($I28="","",_xlfn.XLOOKUP($I28,'Item Master'!$A$4:$A$53,'Item Master'!$F$4:$F$53,0))</f>
        <v/>
      </c>
      <c r="H28" s="50">
        <f>IF($I28="","",$K28*$G28)</f>
        <v/>
      </c>
      <c r="I28" s="51">
        <f>IF($D28="","",IF(COUNTIF('Item Master'!$A$4:$A$53,$D28)&gt;0,$D28,_xlfn.XLOOKUP($D28,'Item Master'!$B$4:$B$53,'Item Master'!$A$4:$A$53,"")))</f>
        <v/>
      </c>
      <c r="J28" s="51">
        <f>IF($I28="","",$C28&amp;"|"&amp;COUNTIFS($C$9:$C28,$C28,$I$9:$I28,"?*"))</f>
        <v/>
      </c>
      <c r="K28" s="52">
        <f>IF($I28="","",IF($F28="",1,$F28))</f>
        <v/>
      </c>
    </row>
    <row r="29" ht="32" customHeight="1">
      <c r="A29" s="46" t="n"/>
      <c r="B29" s="47" t="n"/>
      <c r="C29" s="48">
        <f>IF($D29="","",IF(OR($A29="x",ROW()=9),Settings!$C$14&amp;TEXT(1000+COUNTIF($A$9:$A29,"x")+IF($A$9&lt;&gt;"x",1,0),"0000"),$C28))</f>
        <v/>
      </c>
      <c r="D29" s="46" t="n"/>
      <c r="E29" s="31">
        <f>IF($D29="","",IF($I29="","⚠️ Unknown code",_xlfn.XLOOKUP($I29,'Item Master'!$A$4:$A$53,'Item Master'!$C$4:$C$53,"")))</f>
        <v/>
      </c>
      <c r="F29" s="49" t="n"/>
      <c r="G29" s="36">
        <f>IF($I29="","",_xlfn.XLOOKUP($I29,'Item Master'!$A$4:$A$53,'Item Master'!$F$4:$F$53,0))</f>
        <v/>
      </c>
      <c r="H29" s="50">
        <f>IF($I29="","",$K29*$G29)</f>
        <v/>
      </c>
      <c r="I29" s="51">
        <f>IF($D29="","",IF(COUNTIF('Item Master'!$A$4:$A$53,$D29)&gt;0,$D29,_xlfn.XLOOKUP($D29,'Item Master'!$B$4:$B$53,'Item Master'!$A$4:$A$53,"")))</f>
        <v/>
      </c>
      <c r="J29" s="51">
        <f>IF($I29="","",$C29&amp;"|"&amp;COUNTIFS($C$9:$C29,$C29,$I$9:$I29,"?*"))</f>
        <v/>
      </c>
      <c r="K29" s="52">
        <f>IF($I29="","",IF($F29="",1,$F29))</f>
        <v/>
      </c>
    </row>
    <row r="30" ht="32" customHeight="1">
      <c r="A30" s="46" t="n"/>
      <c r="B30" s="47" t="n"/>
      <c r="C30" s="48">
        <f>IF($D30="","",IF(OR($A30="x",ROW()=9),Settings!$C$14&amp;TEXT(1000+COUNTIF($A$9:$A30,"x")+IF($A$9&lt;&gt;"x",1,0),"0000"),$C29))</f>
        <v/>
      </c>
      <c r="D30" s="46" t="n"/>
      <c r="E30" s="31">
        <f>IF($D30="","",IF($I30="","⚠️ Unknown code",_xlfn.XLOOKUP($I30,'Item Master'!$A$4:$A$53,'Item Master'!$C$4:$C$53,"")))</f>
        <v/>
      </c>
      <c r="F30" s="49" t="n"/>
      <c r="G30" s="36">
        <f>IF($I30="","",_xlfn.XLOOKUP($I30,'Item Master'!$A$4:$A$53,'Item Master'!$F$4:$F$53,0))</f>
        <v/>
      </c>
      <c r="H30" s="50">
        <f>IF($I30="","",$K30*$G30)</f>
        <v/>
      </c>
      <c r="I30" s="51">
        <f>IF($D30="","",IF(COUNTIF('Item Master'!$A$4:$A$53,$D30)&gt;0,$D30,_xlfn.XLOOKUP($D30,'Item Master'!$B$4:$B$53,'Item Master'!$A$4:$A$53,"")))</f>
        <v/>
      </c>
      <c r="J30" s="51">
        <f>IF($I30="","",$C30&amp;"|"&amp;COUNTIFS($C$9:$C30,$C30,$I$9:$I30,"?*"))</f>
        <v/>
      </c>
      <c r="K30" s="52">
        <f>IF($I30="","",IF($F30="",1,$F30))</f>
        <v/>
      </c>
    </row>
    <row r="31" ht="32" customHeight="1">
      <c r="A31" s="46" t="n"/>
      <c r="B31" s="47" t="n"/>
      <c r="C31" s="48">
        <f>IF($D31="","",IF(OR($A31="x",ROW()=9),Settings!$C$14&amp;TEXT(1000+COUNTIF($A$9:$A31,"x")+IF($A$9&lt;&gt;"x",1,0),"0000"),$C30))</f>
        <v/>
      </c>
      <c r="D31" s="46" t="n"/>
      <c r="E31" s="31">
        <f>IF($D31="","",IF($I31="","⚠️ Unknown code",_xlfn.XLOOKUP($I31,'Item Master'!$A$4:$A$53,'Item Master'!$C$4:$C$53,"")))</f>
        <v/>
      </c>
      <c r="F31" s="49" t="n"/>
      <c r="G31" s="36">
        <f>IF($I31="","",_xlfn.XLOOKUP($I31,'Item Master'!$A$4:$A$53,'Item Master'!$F$4:$F$53,0))</f>
        <v/>
      </c>
      <c r="H31" s="50">
        <f>IF($I31="","",$K31*$G31)</f>
        <v/>
      </c>
      <c r="I31" s="51">
        <f>IF($D31="","",IF(COUNTIF('Item Master'!$A$4:$A$53,$D31)&gt;0,$D31,_xlfn.XLOOKUP($D31,'Item Master'!$B$4:$B$53,'Item Master'!$A$4:$A$53,"")))</f>
        <v/>
      </c>
      <c r="J31" s="51">
        <f>IF($I31="","",$C31&amp;"|"&amp;COUNTIFS($C$9:$C31,$C31,$I$9:$I31,"?*"))</f>
        <v/>
      </c>
      <c r="K31" s="52">
        <f>IF($I31="","",IF($F31="",1,$F31))</f>
        <v/>
      </c>
    </row>
    <row r="32" ht="32" customHeight="1">
      <c r="A32" s="46" t="n"/>
      <c r="B32" s="47" t="n"/>
      <c r="C32" s="48">
        <f>IF($D32="","",IF(OR($A32="x",ROW()=9),Settings!$C$14&amp;TEXT(1000+COUNTIF($A$9:$A32,"x")+IF($A$9&lt;&gt;"x",1,0),"0000"),$C31))</f>
        <v/>
      </c>
      <c r="D32" s="46" t="n"/>
      <c r="E32" s="31">
        <f>IF($D32="","",IF($I32="","⚠️ Unknown code",_xlfn.XLOOKUP($I32,'Item Master'!$A$4:$A$53,'Item Master'!$C$4:$C$53,"")))</f>
        <v/>
      </c>
      <c r="F32" s="49" t="n"/>
      <c r="G32" s="36">
        <f>IF($I32="","",_xlfn.XLOOKUP($I32,'Item Master'!$A$4:$A$53,'Item Master'!$F$4:$F$53,0))</f>
        <v/>
      </c>
      <c r="H32" s="50">
        <f>IF($I32="","",$K32*$G32)</f>
        <v/>
      </c>
      <c r="I32" s="51">
        <f>IF($D32="","",IF(COUNTIF('Item Master'!$A$4:$A$53,$D32)&gt;0,$D32,_xlfn.XLOOKUP($D32,'Item Master'!$B$4:$B$53,'Item Master'!$A$4:$A$53,"")))</f>
        <v/>
      </c>
      <c r="J32" s="51">
        <f>IF($I32="","",$C32&amp;"|"&amp;COUNTIFS($C$9:$C32,$C32,$I$9:$I32,"?*"))</f>
        <v/>
      </c>
      <c r="K32" s="52">
        <f>IF($I32="","",IF($F32="",1,$F32))</f>
        <v/>
      </c>
    </row>
    <row r="33" ht="32" customHeight="1">
      <c r="A33" s="46" t="n"/>
      <c r="B33" s="47" t="n"/>
      <c r="C33" s="48">
        <f>IF($D33="","",IF(OR($A33="x",ROW()=9),Settings!$C$14&amp;TEXT(1000+COUNTIF($A$9:$A33,"x")+IF($A$9&lt;&gt;"x",1,0),"0000"),$C32))</f>
        <v/>
      </c>
      <c r="D33" s="46" t="n"/>
      <c r="E33" s="31">
        <f>IF($D33="","",IF($I33="","⚠️ Unknown code",_xlfn.XLOOKUP($I33,'Item Master'!$A$4:$A$53,'Item Master'!$C$4:$C$53,"")))</f>
        <v/>
      </c>
      <c r="F33" s="49" t="n"/>
      <c r="G33" s="36">
        <f>IF($I33="","",_xlfn.XLOOKUP($I33,'Item Master'!$A$4:$A$53,'Item Master'!$F$4:$F$53,0))</f>
        <v/>
      </c>
      <c r="H33" s="50">
        <f>IF($I33="","",$K33*$G33)</f>
        <v/>
      </c>
      <c r="I33" s="51">
        <f>IF($D33="","",IF(COUNTIF('Item Master'!$A$4:$A$53,$D33)&gt;0,$D33,_xlfn.XLOOKUP($D33,'Item Master'!$B$4:$B$53,'Item Master'!$A$4:$A$53,"")))</f>
        <v/>
      </c>
      <c r="J33" s="51">
        <f>IF($I33="","",$C33&amp;"|"&amp;COUNTIFS($C$9:$C33,$C33,$I$9:$I33,"?*"))</f>
        <v/>
      </c>
      <c r="K33" s="52">
        <f>IF($I33="","",IF($F33="",1,$F33))</f>
        <v/>
      </c>
    </row>
    <row r="34" ht="32" customHeight="1">
      <c r="A34" s="46" t="n"/>
      <c r="B34" s="47" t="n"/>
      <c r="C34" s="48">
        <f>IF($D34="","",IF(OR($A34="x",ROW()=9),Settings!$C$14&amp;TEXT(1000+COUNTIF($A$9:$A34,"x")+IF($A$9&lt;&gt;"x",1,0),"0000"),$C33))</f>
        <v/>
      </c>
      <c r="D34" s="46" t="n"/>
      <c r="E34" s="31">
        <f>IF($D34="","",IF($I34="","⚠️ Unknown code",_xlfn.XLOOKUP($I34,'Item Master'!$A$4:$A$53,'Item Master'!$C$4:$C$53,"")))</f>
        <v/>
      </c>
      <c r="F34" s="49" t="n"/>
      <c r="G34" s="36">
        <f>IF($I34="","",_xlfn.XLOOKUP($I34,'Item Master'!$A$4:$A$53,'Item Master'!$F$4:$F$53,0))</f>
        <v/>
      </c>
      <c r="H34" s="50">
        <f>IF($I34="","",$K34*$G34)</f>
        <v/>
      </c>
      <c r="I34" s="51">
        <f>IF($D34="","",IF(COUNTIF('Item Master'!$A$4:$A$53,$D34)&gt;0,$D34,_xlfn.XLOOKUP($D34,'Item Master'!$B$4:$B$53,'Item Master'!$A$4:$A$53,"")))</f>
        <v/>
      </c>
      <c r="J34" s="51">
        <f>IF($I34="","",$C34&amp;"|"&amp;COUNTIFS($C$9:$C34,$C34,$I$9:$I34,"?*"))</f>
        <v/>
      </c>
      <c r="K34" s="52">
        <f>IF($I34="","",IF($F34="",1,$F34))</f>
        <v/>
      </c>
    </row>
    <row r="35" ht="32" customHeight="1">
      <c r="A35" s="46" t="n"/>
      <c r="B35" s="47" t="n"/>
      <c r="C35" s="48">
        <f>IF($D35="","",IF(OR($A35="x",ROW()=9),Settings!$C$14&amp;TEXT(1000+COUNTIF($A$9:$A35,"x")+IF($A$9&lt;&gt;"x",1,0),"0000"),$C34))</f>
        <v/>
      </c>
      <c r="D35" s="46" t="n"/>
      <c r="E35" s="31">
        <f>IF($D35="","",IF($I35="","⚠️ Unknown code",_xlfn.XLOOKUP($I35,'Item Master'!$A$4:$A$53,'Item Master'!$C$4:$C$53,"")))</f>
        <v/>
      </c>
      <c r="F35" s="49" t="n"/>
      <c r="G35" s="36">
        <f>IF($I35="","",_xlfn.XLOOKUP($I35,'Item Master'!$A$4:$A$53,'Item Master'!$F$4:$F$53,0))</f>
        <v/>
      </c>
      <c r="H35" s="50">
        <f>IF($I35="","",$K35*$G35)</f>
        <v/>
      </c>
      <c r="I35" s="51">
        <f>IF($D35="","",IF(COUNTIF('Item Master'!$A$4:$A$53,$D35)&gt;0,$D35,_xlfn.XLOOKUP($D35,'Item Master'!$B$4:$B$53,'Item Master'!$A$4:$A$53,"")))</f>
        <v/>
      </c>
      <c r="J35" s="51">
        <f>IF($I35="","",$C35&amp;"|"&amp;COUNTIFS($C$9:$C35,$C35,$I$9:$I35,"?*"))</f>
        <v/>
      </c>
      <c r="K35" s="52">
        <f>IF($I35="","",IF($F35="",1,$F35))</f>
        <v/>
      </c>
    </row>
    <row r="36" ht="32" customHeight="1">
      <c r="A36" s="46" t="n"/>
      <c r="B36" s="47" t="n"/>
      <c r="C36" s="48">
        <f>IF($D36="","",IF(OR($A36="x",ROW()=9),Settings!$C$14&amp;TEXT(1000+COUNTIF($A$9:$A36,"x")+IF($A$9&lt;&gt;"x",1,0),"0000"),$C35))</f>
        <v/>
      </c>
      <c r="D36" s="46" t="n"/>
      <c r="E36" s="31">
        <f>IF($D36="","",IF($I36="","⚠️ Unknown code",_xlfn.XLOOKUP($I36,'Item Master'!$A$4:$A$53,'Item Master'!$C$4:$C$53,"")))</f>
        <v/>
      </c>
      <c r="F36" s="49" t="n"/>
      <c r="G36" s="36">
        <f>IF($I36="","",_xlfn.XLOOKUP($I36,'Item Master'!$A$4:$A$53,'Item Master'!$F$4:$F$53,0))</f>
        <v/>
      </c>
      <c r="H36" s="50">
        <f>IF($I36="","",$K36*$G36)</f>
        <v/>
      </c>
      <c r="I36" s="51">
        <f>IF($D36="","",IF(COUNTIF('Item Master'!$A$4:$A$53,$D36)&gt;0,$D36,_xlfn.XLOOKUP($D36,'Item Master'!$B$4:$B$53,'Item Master'!$A$4:$A$53,"")))</f>
        <v/>
      </c>
      <c r="J36" s="51">
        <f>IF($I36="","",$C36&amp;"|"&amp;COUNTIFS($C$9:$C36,$C36,$I$9:$I36,"?*"))</f>
        <v/>
      </c>
      <c r="K36" s="52">
        <f>IF($I36="","",IF($F36="",1,$F36))</f>
        <v/>
      </c>
    </row>
    <row r="37" ht="32" customHeight="1">
      <c r="A37" s="46" t="n"/>
      <c r="B37" s="47" t="n"/>
      <c r="C37" s="48">
        <f>IF($D37="","",IF(OR($A37="x",ROW()=9),Settings!$C$14&amp;TEXT(1000+COUNTIF($A$9:$A37,"x")+IF($A$9&lt;&gt;"x",1,0),"0000"),$C36))</f>
        <v/>
      </c>
      <c r="D37" s="46" t="n"/>
      <c r="E37" s="31">
        <f>IF($D37="","",IF($I37="","⚠️ Unknown code",_xlfn.XLOOKUP($I37,'Item Master'!$A$4:$A$53,'Item Master'!$C$4:$C$53,"")))</f>
        <v/>
      </c>
      <c r="F37" s="49" t="n"/>
      <c r="G37" s="36">
        <f>IF($I37="","",_xlfn.XLOOKUP($I37,'Item Master'!$A$4:$A$53,'Item Master'!$F$4:$F$53,0))</f>
        <v/>
      </c>
      <c r="H37" s="50">
        <f>IF($I37="","",$K37*$G37)</f>
        <v/>
      </c>
      <c r="I37" s="51">
        <f>IF($D37="","",IF(COUNTIF('Item Master'!$A$4:$A$53,$D37)&gt;0,$D37,_xlfn.XLOOKUP($D37,'Item Master'!$B$4:$B$53,'Item Master'!$A$4:$A$53,"")))</f>
        <v/>
      </c>
      <c r="J37" s="51">
        <f>IF($I37="","",$C37&amp;"|"&amp;COUNTIFS($C$9:$C37,$C37,$I$9:$I37,"?*"))</f>
        <v/>
      </c>
      <c r="K37" s="52">
        <f>IF($I37="","",IF($F37="",1,$F37))</f>
        <v/>
      </c>
    </row>
    <row r="38" ht="32" customHeight="1">
      <c r="A38" s="46" t="n"/>
      <c r="B38" s="47" t="n"/>
      <c r="C38" s="48">
        <f>IF($D38="","",IF(OR($A38="x",ROW()=9),Settings!$C$14&amp;TEXT(1000+COUNTIF($A$9:$A38,"x")+IF($A$9&lt;&gt;"x",1,0),"0000"),$C37))</f>
        <v/>
      </c>
      <c r="D38" s="46" t="n"/>
      <c r="E38" s="31">
        <f>IF($D38="","",IF($I38="","⚠️ Unknown code",_xlfn.XLOOKUP($I38,'Item Master'!$A$4:$A$53,'Item Master'!$C$4:$C$53,"")))</f>
        <v/>
      </c>
      <c r="F38" s="49" t="n"/>
      <c r="G38" s="36">
        <f>IF($I38="","",_xlfn.XLOOKUP($I38,'Item Master'!$A$4:$A$53,'Item Master'!$F$4:$F$53,0))</f>
        <v/>
      </c>
      <c r="H38" s="50">
        <f>IF($I38="","",$K38*$G38)</f>
        <v/>
      </c>
      <c r="I38" s="51">
        <f>IF($D38="","",IF(COUNTIF('Item Master'!$A$4:$A$53,$D38)&gt;0,$D38,_xlfn.XLOOKUP($D38,'Item Master'!$B$4:$B$53,'Item Master'!$A$4:$A$53,"")))</f>
        <v/>
      </c>
      <c r="J38" s="51">
        <f>IF($I38="","",$C38&amp;"|"&amp;COUNTIFS($C$9:$C38,$C38,$I$9:$I38,"?*"))</f>
        <v/>
      </c>
      <c r="K38" s="52">
        <f>IF($I38="","",IF($F38="",1,$F38))</f>
        <v/>
      </c>
    </row>
    <row r="39" ht="32" customHeight="1">
      <c r="A39" s="46" t="n"/>
      <c r="B39" s="47" t="n"/>
      <c r="C39" s="48">
        <f>IF($D39="","",IF(OR($A39="x",ROW()=9),Settings!$C$14&amp;TEXT(1000+COUNTIF($A$9:$A39,"x")+IF($A$9&lt;&gt;"x",1,0),"0000"),$C38))</f>
        <v/>
      </c>
      <c r="D39" s="46" t="n"/>
      <c r="E39" s="31">
        <f>IF($D39="","",IF($I39="","⚠️ Unknown code",_xlfn.XLOOKUP($I39,'Item Master'!$A$4:$A$53,'Item Master'!$C$4:$C$53,"")))</f>
        <v/>
      </c>
      <c r="F39" s="49" t="n"/>
      <c r="G39" s="36">
        <f>IF($I39="","",_xlfn.XLOOKUP($I39,'Item Master'!$A$4:$A$53,'Item Master'!$F$4:$F$53,0))</f>
        <v/>
      </c>
      <c r="H39" s="50">
        <f>IF($I39="","",$K39*$G39)</f>
        <v/>
      </c>
      <c r="I39" s="51">
        <f>IF($D39="","",IF(COUNTIF('Item Master'!$A$4:$A$53,$D39)&gt;0,$D39,_xlfn.XLOOKUP($D39,'Item Master'!$B$4:$B$53,'Item Master'!$A$4:$A$53,"")))</f>
        <v/>
      </c>
      <c r="J39" s="51">
        <f>IF($I39="","",$C39&amp;"|"&amp;COUNTIFS($C$9:$C39,$C39,$I$9:$I39,"?*"))</f>
        <v/>
      </c>
      <c r="K39" s="52">
        <f>IF($I39="","",IF($F39="",1,$F39))</f>
        <v/>
      </c>
    </row>
    <row r="40" ht="32" customHeight="1">
      <c r="A40" s="46" t="n"/>
      <c r="B40" s="47" t="n"/>
      <c r="C40" s="48">
        <f>IF($D40="","",IF(OR($A40="x",ROW()=9),Settings!$C$14&amp;TEXT(1000+COUNTIF($A$9:$A40,"x")+IF($A$9&lt;&gt;"x",1,0),"0000"),$C39))</f>
        <v/>
      </c>
      <c r="D40" s="46" t="n"/>
      <c r="E40" s="31">
        <f>IF($D40="","",IF($I40="","⚠️ Unknown code",_xlfn.XLOOKUP($I40,'Item Master'!$A$4:$A$53,'Item Master'!$C$4:$C$53,"")))</f>
        <v/>
      </c>
      <c r="F40" s="49" t="n"/>
      <c r="G40" s="36">
        <f>IF($I40="","",_xlfn.XLOOKUP($I40,'Item Master'!$A$4:$A$53,'Item Master'!$F$4:$F$53,0))</f>
        <v/>
      </c>
      <c r="H40" s="50">
        <f>IF($I40="","",$K40*$G40)</f>
        <v/>
      </c>
      <c r="I40" s="51">
        <f>IF($D40="","",IF(COUNTIF('Item Master'!$A$4:$A$53,$D40)&gt;0,$D40,_xlfn.XLOOKUP($D40,'Item Master'!$B$4:$B$53,'Item Master'!$A$4:$A$53,"")))</f>
        <v/>
      </c>
      <c r="J40" s="51">
        <f>IF($I40="","",$C40&amp;"|"&amp;COUNTIFS($C$9:$C40,$C40,$I$9:$I40,"?*"))</f>
        <v/>
      </c>
      <c r="K40" s="52">
        <f>IF($I40="","",IF($F40="",1,$F40))</f>
        <v/>
      </c>
    </row>
    <row r="41" ht="32" customHeight="1">
      <c r="A41" s="46" t="n"/>
      <c r="B41" s="47" t="n"/>
      <c r="C41" s="48">
        <f>IF($D41="","",IF(OR($A41="x",ROW()=9),Settings!$C$14&amp;TEXT(1000+COUNTIF($A$9:$A41,"x")+IF($A$9&lt;&gt;"x",1,0),"0000"),$C40))</f>
        <v/>
      </c>
      <c r="D41" s="46" t="n"/>
      <c r="E41" s="31">
        <f>IF($D41="","",IF($I41="","⚠️ Unknown code",_xlfn.XLOOKUP($I41,'Item Master'!$A$4:$A$53,'Item Master'!$C$4:$C$53,"")))</f>
        <v/>
      </c>
      <c r="F41" s="49" t="n"/>
      <c r="G41" s="36">
        <f>IF($I41="","",_xlfn.XLOOKUP($I41,'Item Master'!$A$4:$A$53,'Item Master'!$F$4:$F$53,0))</f>
        <v/>
      </c>
      <c r="H41" s="50">
        <f>IF($I41="","",$K41*$G41)</f>
        <v/>
      </c>
      <c r="I41" s="51">
        <f>IF($D41="","",IF(COUNTIF('Item Master'!$A$4:$A$53,$D41)&gt;0,$D41,_xlfn.XLOOKUP($D41,'Item Master'!$B$4:$B$53,'Item Master'!$A$4:$A$53,"")))</f>
        <v/>
      </c>
      <c r="J41" s="51">
        <f>IF($I41="","",$C41&amp;"|"&amp;COUNTIFS($C$9:$C41,$C41,$I$9:$I41,"?*"))</f>
        <v/>
      </c>
      <c r="K41" s="52">
        <f>IF($I41="","",IF($F41="",1,$F41))</f>
        <v/>
      </c>
    </row>
    <row r="42" ht="32" customHeight="1">
      <c r="A42" s="46" t="n"/>
      <c r="B42" s="47" t="n"/>
      <c r="C42" s="48">
        <f>IF($D42="","",IF(OR($A42="x",ROW()=9),Settings!$C$14&amp;TEXT(1000+COUNTIF($A$9:$A42,"x")+IF($A$9&lt;&gt;"x",1,0),"0000"),$C41))</f>
        <v/>
      </c>
      <c r="D42" s="46" t="n"/>
      <c r="E42" s="31">
        <f>IF($D42="","",IF($I42="","⚠️ Unknown code",_xlfn.XLOOKUP($I42,'Item Master'!$A$4:$A$53,'Item Master'!$C$4:$C$53,"")))</f>
        <v/>
      </c>
      <c r="F42" s="49" t="n"/>
      <c r="G42" s="36">
        <f>IF($I42="","",_xlfn.XLOOKUP($I42,'Item Master'!$A$4:$A$53,'Item Master'!$F$4:$F$53,0))</f>
        <v/>
      </c>
      <c r="H42" s="50">
        <f>IF($I42="","",$K42*$G42)</f>
        <v/>
      </c>
      <c r="I42" s="51">
        <f>IF($D42="","",IF(COUNTIF('Item Master'!$A$4:$A$53,$D42)&gt;0,$D42,_xlfn.XLOOKUP($D42,'Item Master'!$B$4:$B$53,'Item Master'!$A$4:$A$53,"")))</f>
        <v/>
      </c>
      <c r="J42" s="51">
        <f>IF($I42="","",$C42&amp;"|"&amp;COUNTIFS($C$9:$C42,$C42,$I$9:$I42,"?*"))</f>
        <v/>
      </c>
      <c r="K42" s="52">
        <f>IF($I42="","",IF($F42="",1,$F42))</f>
        <v/>
      </c>
    </row>
    <row r="43" ht="32" customHeight="1">
      <c r="A43" s="46" t="n"/>
      <c r="B43" s="47" t="n"/>
      <c r="C43" s="48">
        <f>IF($D43="","",IF(OR($A43="x",ROW()=9),Settings!$C$14&amp;TEXT(1000+COUNTIF($A$9:$A43,"x")+IF($A$9&lt;&gt;"x",1,0),"0000"),$C42))</f>
        <v/>
      </c>
      <c r="D43" s="46" t="n"/>
      <c r="E43" s="31">
        <f>IF($D43="","",IF($I43="","⚠️ Unknown code",_xlfn.XLOOKUP($I43,'Item Master'!$A$4:$A$53,'Item Master'!$C$4:$C$53,"")))</f>
        <v/>
      </c>
      <c r="F43" s="49" t="n"/>
      <c r="G43" s="36">
        <f>IF($I43="","",_xlfn.XLOOKUP($I43,'Item Master'!$A$4:$A$53,'Item Master'!$F$4:$F$53,0))</f>
        <v/>
      </c>
      <c r="H43" s="50">
        <f>IF($I43="","",$K43*$G43)</f>
        <v/>
      </c>
      <c r="I43" s="51">
        <f>IF($D43="","",IF(COUNTIF('Item Master'!$A$4:$A$53,$D43)&gt;0,$D43,_xlfn.XLOOKUP($D43,'Item Master'!$B$4:$B$53,'Item Master'!$A$4:$A$53,"")))</f>
        <v/>
      </c>
      <c r="J43" s="51">
        <f>IF($I43="","",$C43&amp;"|"&amp;COUNTIFS($C$9:$C43,$C43,$I$9:$I43,"?*"))</f>
        <v/>
      </c>
      <c r="K43" s="52">
        <f>IF($I43="","",IF($F43="",1,$F43))</f>
        <v/>
      </c>
    </row>
    <row r="44" ht="32" customHeight="1">
      <c r="A44" s="46" t="n"/>
      <c r="B44" s="47" t="n"/>
      <c r="C44" s="48">
        <f>IF($D44="","",IF(OR($A44="x",ROW()=9),Settings!$C$14&amp;TEXT(1000+COUNTIF($A$9:$A44,"x")+IF($A$9&lt;&gt;"x",1,0),"0000"),$C43))</f>
        <v/>
      </c>
      <c r="D44" s="46" t="n"/>
      <c r="E44" s="31">
        <f>IF($D44="","",IF($I44="","⚠️ Unknown code",_xlfn.XLOOKUP($I44,'Item Master'!$A$4:$A$53,'Item Master'!$C$4:$C$53,"")))</f>
        <v/>
      </c>
      <c r="F44" s="49" t="n"/>
      <c r="G44" s="36">
        <f>IF($I44="","",_xlfn.XLOOKUP($I44,'Item Master'!$A$4:$A$53,'Item Master'!$F$4:$F$53,0))</f>
        <v/>
      </c>
      <c r="H44" s="50">
        <f>IF($I44="","",$K44*$G44)</f>
        <v/>
      </c>
      <c r="I44" s="51">
        <f>IF($D44="","",IF(COUNTIF('Item Master'!$A$4:$A$53,$D44)&gt;0,$D44,_xlfn.XLOOKUP($D44,'Item Master'!$B$4:$B$53,'Item Master'!$A$4:$A$53,"")))</f>
        <v/>
      </c>
      <c r="J44" s="51">
        <f>IF($I44="","",$C44&amp;"|"&amp;COUNTIFS($C$9:$C44,$C44,$I$9:$I44,"?*"))</f>
        <v/>
      </c>
      <c r="K44" s="52">
        <f>IF($I44="","",IF($F44="",1,$F44))</f>
        <v/>
      </c>
    </row>
    <row r="45" ht="32" customHeight="1">
      <c r="A45" s="46" t="n"/>
      <c r="B45" s="47" t="n"/>
      <c r="C45" s="48">
        <f>IF($D45="","",IF(OR($A45="x",ROW()=9),Settings!$C$14&amp;TEXT(1000+COUNTIF($A$9:$A45,"x")+IF($A$9&lt;&gt;"x",1,0),"0000"),$C44))</f>
        <v/>
      </c>
      <c r="D45" s="46" t="n"/>
      <c r="E45" s="31">
        <f>IF($D45="","",IF($I45="","⚠️ Unknown code",_xlfn.XLOOKUP($I45,'Item Master'!$A$4:$A$53,'Item Master'!$C$4:$C$53,"")))</f>
        <v/>
      </c>
      <c r="F45" s="49" t="n"/>
      <c r="G45" s="36">
        <f>IF($I45="","",_xlfn.XLOOKUP($I45,'Item Master'!$A$4:$A$53,'Item Master'!$F$4:$F$53,0))</f>
        <v/>
      </c>
      <c r="H45" s="50">
        <f>IF($I45="","",$K45*$G45)</f>
        <v/>
      </c>
      <c r="I45" s="51">
        <f>IF($D45="","",IF(COUNTIF('Item Master'!$A$4:$A$53,$D45)&gt;0,$D45,_xlfn.XLOOKUP($D45,'Item Master'!$B$4:$B$53,'Item Master'!$A$4:$A$53,"")))</f>
        <v/>
      </c>
      <c r="J45" s="51">
        <f>IF($I45="","",$C45&amp;"|"&amp;COUNTIFS($C$9:$C45,$C45,$I$9:$I45,"?*"))</f>
        <v/>
      </c>
      <c r="K45" s="52">
        <f>IF($I45="","",IF($F45="",1,$F45))</f>
        <v/>
      </c>
    </row>
    <row r="46" ht="32" customHeight="1">
      <c r="A46" s="46" t="n"/>
      <c r="B46" s="47" t="n"/>
      <c r="C46" s="48">
        <f>IF($D46="","",IF(OR($A46="x",ROW()=9),Settings!$C$14&amp;TEXT(1000+COUNTIF($A$9:$A46,"x")+IF($A$9&lt;&gt;"x",1,0),"0000"),$C45))</f>
        <v/>
      </c>
      <c r="D46" s="46" t="n"/>
      <c r="E46" s="31">
        <f>IF($D46="","",IF($I46="","⚠️ Unknown code",_xlfn.XLOOKUP($I46,'Item Master'!$A$4:$A$53,'Item Master'!$C$4:$C$53,"")))</f>
        <v/>
      </c>
      <c r="F46" s="49" t="n"/>
      <c r="G46" s="36">
        <f>IF($I46="","",_xlfn.XLOOKUP($I46,'Item Master'!$A$4:$A$53,'Item Master'!$F$4:$F$53,0))</f>
        <v/>
      </c>
      <c r="H46" s="50">
        <f>IF($I46="","",$K46*$G46)</f>
        <v/>
      </c>
      <c r="I46" s="51">
        <f>IF($D46="","",IF(COUNTIF('Item Master'!$A$4:$A$53,$D46)&gt;0,$D46,_xlfn.XLOOKUP($D46,'Item Master'!$B$4:$B$53,'Item Master'!$A$4:$A$53,"")))</f>
        <v/>
      </c>
      <c r="J46" s="51">
        <f>IF($I46="","",$C46&amp;"|"&amp;COUNTIFS($C$9:$C46,$C46,$I$9:$I46,"?*"))</f>
        <v/>
      </c>
      <c r="K46" s="52">
        <f>IF($I46="","",IF($F46="",1,$F46))</f>
        <v/>
      </c>
    </row>
    <row r="47" ht="32" customHeight="1">
      <c r="A47" s="46" t="n"/>
      <c r="B47" s="47" t="n"/>
      <c r="C47" s="48">
        <f>IF($D47="","",IF(OR($A47="x",ROW()=9),Settings!$C$14&amp;TEXT(1000+COUNTIF($A$9:$A47,"x")+IF($A$9&lt;&gt;"x",1,0),"0000"),$C46))</f>
        <v/>
      </c>
      <c r="D47" s="46" t="n"/>
      <c r="E47" s="31">
        <f>IF($D47="","",IF($I47="","⚠️ Unknown code",_xlfn.XLOOKUP($I47,'Item Master'!$A$4:$A$53,'Item Master'!$C$4:$C$53,"")))</f>
        <v/>
      </c>
      <c r="F47" s="49" t="n"/>
      <c r="G47" s="36">
        <f>IF($I47="","",_xlfn.XLOOKUP($I47,'Item Master'!$A$4:$A$53,'Item Master'!$F$4:$F$53,0))</f>
        <v/>
      </c>
      <c r="H47" s="50">
        <f>IF($I47="","",$K47*$G47)</f>
        <v/>
      </c>
      <c r="I47" s="51">
        <f>IF($D47="","",IF(COUNTIF('Item Master'!$A$4:$A$53,$D47)&gt;0,$D47,_xlfn.XLOOKUP($D47,'Item Master'!$B$4:$B$53,'Item Master'!$A$4:$A$53,"")))</f>
        <v/>
      </c>
      <c r="J47" s="51">
        <f>IF($I47="","",$C47&amp;"|"&amp;COUNTIFS($C$9:$C47,$C47,$I$9:$I47,"?*"))</f>
        <v/>
      </c>
      <c r="K47" s="52">
        <f>IF($I47="","",IF($F47="",1,$F47))</f>
        <v/>
      </c>
    </row>
    <row r="48" ht="32" customHeight="1">
      <c r="A48" s="46" t="n"/>
      <c r="B48" s="47" t="n"/>
      <c r="C48" s="48">
        <f>IF($D48="","",IF(OR($A48="x",ROW()=9),Settings!$C$14&amp;TEXT(1000+COUNTIF($A$9:$A48,"x")+IF($A$9&lt;&gt;"x",1,0),"0000"),$C47))</f>
        <v/>
      </c>
      <c r="D48" s="46" t="n"/>
      <c r="E48" s="31">
        <f>IF($D48="","",IF($I48="","⚠️ Unknown code",_xlfn.XLOOKUP($I48,'Item Master'!$A$4:$A$53,'Item Master'!$C$4:$C$53,"")))</f>
        <v/>
      </c>
      <c r="F48" s="49" t="n"/>
      <c r="G48" s="36">
        <f>IF($I48="","",_xlfn.XLOOKUP($I48,'Item Master'!$A$4:$A$53,'Item Master'!$F$4:$F$53,0))</f>
        <v/>
      </c>
      <c r="H48" s="50">
        <f>IF($I48="","",$K48*$G48)</f>
        <v/>
      </c>
      <c r="I48" s="51">
        <f>IF($D48="","",IF(COUNTIF('Item Master'!$A$4:$A$53,$D48)&gt;0,$D48,_xlfn.XLOOKUP($D48,'Item Master'!$B$4:$B$53,'Item Master'!$A$4:$A$53,"")))</f>
        <v/>
      </c>
      <c r="J48" s="51">
        <f>IF($I48="","",$C48&amp;"|"&amp;COUNTIFS($C$9:$C48,$C48,$I$9:$I48,"?*"))</f>
        <v/>
      </c>
      <c r="K48" s="52">
        <f>IF($I48="","",IF($F48="",1,$F48))</f>
        <v/>
      </c>
    </row>
    <row r="49" ht="32" customHeight="1">
      <c r="A49" s="46" t="n"/>
      <c r="B49" s="47" t="n"/>
      <c r="C49" s="48">
        <f>IF($D49="","",IF(OR($A49="x",ROW()=9),Settings!$C$14&amp;TEXT(1000+COUNTIF($A$9:$A49,"x")+IF($A$9&lt;&gt;"x",1,0),"0000"),$C48))</f>
        <v/>
      </c>
      <c r="D49" s="46" t="n"/>
      <c r="E49" s="31">
        <f>IF($D49="","",IF($I49="","⚠️ Unknown code",_xlfn.XLOOKUP($I49,'Item Master'!$A$4:$A$53,'Item Master'!$C$4:$C$53,"")))</f>
        <v/>
      </c>
      <c r="F49" s="49" t="n"/>
      <c r="G49" s="36">
        <f>IF($I49="","",_xlfn.XLOOKUP($I49,'Item Master'!$A$4:$A$53,'Item Master'!$F$4:$F$53,0))</f>
        <v/>
      </c>
      <c r="H49" s="50">
        <f>IF($I49="","",$K49*$G49)</f>
        <v/>
      </c>
      <c r="I49" s="51">
        <f>IF($D49="","",IF(COUNTIF('Item Master'!$A$4:$A$53,$D49)&gt;0,$D49,_xlfn.XLOOKUP($D49,'Item Master'!$B$4:$B$53,'Item Master'!$A$4:$A$53,"")))</f>
        <v/>
      </c>
      <c r="J49" s="51">
        <f>IF($I49="","",$C49&amp;"|"&amp;COUNTIFS($C$9:$C49,$C49,$I$9:$I49,"?*"))</f>
        <v/>
      </c>
      <c r="K49" s="52">
        <f>IF($I49="","",IF($F49="",1,$F49))</f>
        <v/>
      </c>
    </row>
    <row r="50" ht="32" customHeight="1">
      <c r="A50" s="46" t="n"/>
      <c r="B50" s="47" t="n"/>
      <c r="C50" s="48">
        <f>IF($D50="","",IF(OR($A50="x",ROW()=9),Settings!$C$14&amp;TEXT(1000+COUNTIF($A$9:$A50,"x")+IF($A$9&lt;&gt;"x",1,0),"0000"),$C49))</f>
        <v/>
      </c>
      <c r="D50" s="46" t="n"/>
      <c r="E50" s="31">
        <f>IF($D50="","",IF($I50="","⚠️ Unknown code",_xlfn.XLOOKUP($I50,'Item Master'!$A$4:$A$53,'Item Master'!$C$4:$C$53,"")))</f>
        <v/>
      </c>
      <c r="F50" s="49" t="n"/>
      <c r="G50" s="36">
        <f>IF($I50="","",_xlfn.XLOOKUP($I50,'Item Master'!$A$4:$A$53,'Item Master'!$F$4:$F$53,0))</f>
        <v/>
      </c>
      <c r="H50" s="50">
        <f>IF($I50="","",$K50*$G50)</f>
        <v/>
      </c>
      <c r="I50" s="51">
        <f>IF($D50="","",IF(COUNTIF('Item Master'!$A$4:$A$53,$D50)&gt;0,$D50,_xlfn.XLOOKUP($D50,'Item Master'!$B$4:$B$53,'Item Master'!$A$4:$A$53,"")))</f>
        <v/>
      </c>
      <c r="J50" s="51">
        <f>IF($I50="","",$C50&amp;"|"&amp;COUNTIFS($C$9:$C50,$C50,$I$9:$I50,"?*"))</f>
        <v/>
      </c>
      <c r="K50" s="52">
        <f>IF($I50="","",IF($F50="",1,$F50))</f>
        <v/>
      </c>
    </row>
    <row r="51" ht="32" customHeight="1">
      <c r="A51" s="46" t="n"/>
      <c r="B51" s="47" t="n"/>
      <c r="C51" s="48">
        <f>IF($D51="","",IF(OR($A51="x",ROW()=9),Settings!$C$14&amp;TEXT(1000+COUNTIF($A$9:$A51,"x")+IF($A$9&lt;&gt;"x",1,0),"0000"),$C50))</f>
        <v/>
      </c>
      <c r="D51" s="46" t="n"/>
      <c r="E51" s="31">
        <f>IF($D51="","",IF($I51="","⚠️ Unknown code",_xlfn.XLOOKUP($I51,'Item Master'!$A$4:$A$53,'Item Master'!$C$4:$C$53,"")))</f>
        <v/>
      </c>
      <c r="F51" s="49" t="n"/>
      <c r="G51" s="36">
        <f>IF($I51="","",_xlfn.XLOOKUP($I51,'Item Master'!$A$4:$A$53,'Item Master'!$F$4:$F$53,0))</f>
        <v/>
      </c>
      <c r="H51" s="50">
        <f>IF($I51="","",$K51*$G51)</f>
        <v/>
      </c>
      <c r="I51" s="51">
        <f>IF($D51="","",IF(COUNTIF('Item Master'!$A$4:$A$53,$D51)&gt;0,$D51,_xlfn.XLOOKUP($D51,'Item Master'!$B$4:$B$53,'Item Master'!$A$4:$A$53,"")))</f>
        <v/>
      </c>
      <c r="J51" s="51">
        <f>IF($I51="","",$C51&amp;"|"&amp;COUNTIFS($C$9:$C51,$C51,$I$9:$I51,"?*"))</f>
        <v/>
      </c>
      <c r="K51" s="52">
        <f>IF($I51="","",IF($F51="",1,$F51))</f>
        <v/>
      </c>
    </row>
    <row r="52" ht="32" customHeight="1">
      <c r="A52" s="46" t="n"/>
      <c r="B52" s="47" t="n"/>
      <c r="C52" s="48">
        <f>IF($D52="","",IF(OR($A52="x",ROW()=9),Settings!$C$14&amp;TEXT(1000+COUNTIF($A$9:$A52,"x")+IF($A$9&lt;&gt;"x",1,0),"0000"),$C51))</f>
        <v/>
      </c>
      <c r="D52" s="46" t="n"/>
      <c r="E52" s="31">
        <f>IF($D52="","",IF($I52="","⚠️ Unknown code",_xlfn.XLOOKUP($I52,'Item Master'!$A$4:$A$53,'Item Master'!$C$4:$C$53,"")))</f>
        <v/>
      </c>
      <c r="F52" s="49" t="n"/>
      <c r="G52" s="36">
        <f>IF($I52="","",_xlfn.XLOOKUP($I52,'Item Master'!$A$4:$A$53,'Item Master'!$F$4:$F$53,0))</f>
        <v/>
      </c>
      <c r="H52" s="50">
        <f>IF($I52="","",$K52*$G52)</f>
        <v/>
      </c>
      <c r="I52" s="51">
        <f>IF($D52="","",IF(COUNTIF('Item Master'!$A$4:$A$53,$D52)&gt;0,$D52,_xlfn.XLOOKUP($D52,'Item Master'!$B$4:$B$53,'Item Master'!$A$4:$A$53,"")))</f>
        <v/>
      </c>
      <c r="J52" s="51">
        <f>IF($I52="","",$C52&amp;"|"&amp;COUNTIFS($C$9:$C52,$C52,$I$9:$I52,"?*"))</f>
        <v/>
      </c>
      <c r="K52" s="52">
        <f>IF($I52="","",IF($F52="",1,$F52))</f>
        <v/>
      </c>
    </row>
    <row r="53" ht="32" customHeight="1">
      <c r="A53" s="46" t="n"/>
      <c r="B53" s="47" t="n"/>
      <c r="C53" s="48">
        <f>IF($D53="","",IF(OR($A53="x",ROW()=9),Settings!$C$14&amp;TEXT(1000+COUNTIF($A$9:$A53,"x")+IF($A$9&lt;&gt;"x",1,0),"0000"),$C52))</f>
        <v/>
      </c>
      <c r="D53" s="46" t="n"/>
      <c r="E53" s="31">
        <f>IF($D53="","",IF($I53="","⚠️ Unknown code",_xlfn.XLOOKUP($I53,'Item Master'!$A$4:$A$53,'Item Master'!$C$4:$C$53,"")))</f>
        <v/>
      </c>
      <c r="F53" s="49" t="n"/>
      <c r="G53" s="36">
        <f>IF($I53="","",_xlfn.XLOOKUP($I53,'Item Master'!$A$4:$A$53,'Item Master'!$F$4:$F$53,0))</f>
        <v/>
      </c>
      <c r="H53" s="50">
        <f>IF($I53="","",$K53*$G53)</f>
        <v/>
      </c>
      <c r="I53" s="51">
        <f>IF($D53="","",IF(COUNTIF('Item Master'!$A$4:$A$53,$D53)&gt;0,$D53,_xlfn.XLOOKUP($D53,'Item Master'!$B$4:$B$53,'Item Master'!$A$4:$A$53,"")))</f>
        <v/>
      </c>
      <c r="J53" s="51">
        <f>IF($I53="","",$C53&amp;"|"&amp;COUNTIFS($C$9:$C53,$C53,$I$9:$I53,"?*"))</f>
        <v/>
      </c>
      <c r="K53" s="52">
        <f>IF($I53="","",IF($F53="",1,$F53))</f>
        <v/>
      </c>
    </row>
    <row r="54" ht="32" customHeight="1">
      <c r="A54" s="46" t="n"/>
      <c r="B54" s="47" t="n"/>
      <c r="C54" s="48">
        <f>IF($D54="","",IF(OR($A54="x",ROW()=9),Settings!$C$14&amp;TEXT(1000+COUNTIF($A$9:$A54,"x")+IF($A$9&lt;&gt;"x",1,0),"0000"),$C53))</f>
        <v/>
      </c>
      <c r="D54" s="46" t="n"/>
      <c r="E54" s="31">
        <f>IF($D54="","",IF($I54="","⚠️ Unknown code",_xlfn.XLOOKUP($I54,'Item Master'!$A$4:$A$53,'Item Master'!$C$4:$C$53,"")))</f>
        <v/>
      </c>
      <c r="F54" s="49" t="n"/>
      <c r="G54" s="36">
        <f>IF($I54="","",_xlfn.XLOOKUP($I54,'Item Master'!$A$4:$A$53,'Item Master'!$F$4:$F$53,0))</f>
        <v/>
      </c>
      <c r="H54" s="50">
        <f>IF($I54="","",$K54*$G54)</f>
        <v/>
      </c>
      <c r="I54" s="51">
        <f>IF($D54="","",IF(COUNTIF('Item Master'!$A$4:$A$53,$D54)&gt;0,$D54,_xlfn.XLOOKUP($D54,'Item Master'!$B$4:$B$53,'Item Master'!$A$4:$A$53,"")))</f>
        <v/>
      </c>
      <c r="J54" s="51">
        <f>IF($I54="","",$C54&amp;"|"&amp;COUNTIFS($C$9:$C54,$C54,$I$9:$I54,"?*"))</f>
        <v/>
      </c>
      <c r="K54" s="52">
        <f>IF($I54="","",IF($F54="",1,$F54))</f>
        <v/>
      </c>
    </row>
    <row r="55" ht="32" customHeight="1">
      <c r="A55" s="46" t="n"/>
      <c r="B55" s="47" t="n"/>
      <c r="C55" s="48">
        <f>IF($D55="","",IF(OR($A55="x",ROW()=9),Settings!$C$14&amp;TEXT(1000+COUNTIF($A$9:$A55,"x")+IF($A$9&lt;&gt;"x",1,0),"0000"),$C54))</f>
        <v/>
      </c>
      <c r="D55" s="46" t="n"/>
      <c r="E55" s="31">
        <f>IF($D55="","",IF($I55="","⚠️ Unknown code",_xlfn.XLOOKUP($I55,'Item Master'!$A$4:$A$53,'Item Master'!$C$4:$C$53,"")))</f>
        <v/>
      </c>
      <c r="F55" s="49" t="n"/>
      <c r="G55" s="36">
        <f>IF($I55="","",_xlfn.XLOOKUP($I55,'Item Master'!$A$4:$A$53,'Item Master'!$F$4:$F$53,0))</f>
        <v/>
      </c>
      <c r="H55" s="50">
        <f>IF($I55="","",$K55*$G55)</f>
        <v/>
      </c>
      <c r="I55" s="51">
        <f>IF($D55="","",IF(COUNTIF('Item Master'!$A$4:$A$53,$D55)&gt;0,$D55,_xlfn.XLOOKUP($D55,'Item Master'!$B$4:$B$53,'Item Master'!$A$4:$A$53,"")))</f>
        <v/>
      </c>
      <c r="J55" s="51">
        <f>IF($I55="","",$C55&amp;"|"&amp;COUNTIFS($C$9:$C55,$C55,$I$9:$I55,"?*"))</f>
        <v/>
      </c>
      <c r="K55" s="52">
        <f>IF($I55="","",IF($F55="",1,$F55))</f>
        <v/>
      </c>
    </row>
    <row r="56" ht="32" customHeight="1">
      <c r="A56" s="46" t="n"/>
      <c r="B56" s="47" t="n"/>
      <c r="C56" s="48">
        <f>IF($D56="","",IF(OR($A56="x",ROW()=9),Settings!$C$14&amp;TEXT(1000+COUNTIF($A$9:$A56,"x")+IF($A$9&lt;&gt;"x",1,0),"0000"),$C55))</f>
        <v/>
      </c>
      <c r="D56" s="46" t="n"/>
      <c r="E56" s="31">
        <f>IF($D56="","",IF($I56="","⚠️ Unknown code",_xlfn.XLOOKUP($I56,'Item Master'!$A$4:$A$53,'Item Master'!$C$4:$C$53,"")))</f>
        <v/>
      </c>
      <c r="F56" s="49" t="n"/>
      <c r="G56" s="36">
        <f>IF($I56="","",_xlfn.XLOOKUP($I56,'Item Master'!$A$4:$A$53,'Item Master'!$F$4:$F$53,0))</f>
        <v/>
      </c>
      <c r="H56" s="50">
        <f>IF($I56="","",$K56*$G56)</f>
        <v/>
      </c>
      <c r="I56" s="51">
        <f>IF($D56="","",IF(COUNTIF('Item Master'!$A$4:$A$53,$D56)&gt;0,$D56,_xlfn.XLOOKUP($D56,'Item Master'!$B$4:$B$53,'Item Master'!$A$4:$A$53,"")))</f>
        <v/>
      </c>
      <c r="J56" s="51">
        <f>IF($I56="","",$C56&amp;"|"&amp;COUNTIFS($C$9:$C56,$C56,$I$9:$I56,"?*"))</f>
        <v/>
      </c>
      <c r="K56" s="52">
        <f>IF($I56="","",IF($F56="",1,$F56))</f>
        <v/>
      </c>
    </row>
    <row r="57" ht="32" customHeight="1">
      <c r="A57" s="46" t="n"/>
      <c r="B57" s="47" t="n"/>
      <c r="C57" s="48">
        <f>IF($D57="","",IF(OR($A57="x",ROW()=9),Settings!$C$14&amp;TEXT(1000+COUNTIF($A$9:$A57,"x")+IF($A$9&lt;&gt;"x",1,0),"0000"),$C56))</f>
        <v/>
      </c>
      <c r="D57" s="46" t="n"/>
      <c r="E57" s="31">
        <f>IF($D57="","",IF($I57="","⚠️ Unknown code",_xlfn.XLOOKUP($I57,'Item Master'!$A$4:$A$53,'Item Master'!$C$4:$C$53,"")))</f>
        <v/>
      </c>
      <c r="F57" s="49" t="n"/>
      <c r="G57" s="36">
        <f>IF($I57="","",_xlfn.XLOOKUP($I57,'Item Master'!$A$4:$A$53,'Item Master'!$F$4:$F$53,0))</f>
        <v/>
      </c>
      <c r="H57" s="50">
        <f>IF($I57="","",$K57*$G57)</f>
        <v/>
      </c>
      <c r="I57" s="51">
        <f>IF($D57="","",IF(COUNTIF('Item Master'!$A$4:$A$53,$D57)&gt;0,$D57,_xlfn.XLOOKUP($D57,'Item Master'!$B$4:$B$53,'Item Master'!$A$4:$A$53,"")))</f>
        <v/>
      </c>
      <c r="J57" s="51">
        <f>IF($I57="","",$C57&amp;"|"&amp;COUNTIFS($C$9:$C57,$C57,$I$9:$I57,"?*"))</f>
        <v/>
      </c>
      <c r="K57" s="52">
        <f>IF($I57="","",IF($F57="",1,$F57))</f>
        <v/>
      </c>
    </row>
    <row r="58" ht="32" customHeight="1">
      <c r="A58" s="46" t="n"/>
      <c r="B58" s="47" t="n"/>
      <c r="C58" s="48">
        <f>IF($D58="","",IF(OR($A58="x",ROW()=9),Settings!$C$14&amp;TEXT(1000+COUNTIF($A$9:$A58,"x")+IF($A$9&lt;&gt;"x",1,0),"0000"),$C57))</f>
        <v/>
      </c>
      <c r="D58" s="46" t="n"/>
      <c r="E58" s="31">
        <f>IF($D58="","",IF($I58="","⚠️ Unknown code",_xlfn.XLOOKUP($I58,'Item Master'!$A$4:$A$53,'Item Master'!$C$4:$C$53,"")))</f>
        <v/>
      </c>
      <c r="F58" s="49" t="n"/>
      <c r="G58" s="36">
        <f>IF($I58="","",_xlfn.XLOOKUP($I58,'Item Master'!$A$4:$A$53,'Item Master'!$F$4:$F$53,0))</f>
        <v/>
      </c>
      <c r="H58" s="50">
        <f>IF($I58="","",$K58*$G58)</f>
        <v/>
      </c>
      <c r="I58" s="51">
        <f>IF($D58="","",IF(COUNTIF('Item Master'!$A$4:$A$53,$D58)&gt;0,$D58,_xlfn.XLOOKUP($D58,'Item Master'!$B$4:$B$53,'Item Master'!$A$4:$A$53,"")))</f>
        <v/>
      </c>
      <c r="J58" s="51">
        <f>IF($I58="","",$C58&amp;"|"&amp;COUNTIFS($C$9:$C58,$C58,$I$9:$I58,"?*"))</f>
        <v/>
      </c>
      <c r="K58" s="52">
        <f>IF($I58="","",IF($F58="",1,$F58))</f>
        <v/>
      </c>
    </row>
    <row r="59" ht="32" customHeight="1">
      <c r="A59" s="46" t="n"/>
      <c r="B59" s="47" t="n"/>
      <c r="C59" s="48">
        <f>IF($D59="","",IF(OR($A59="x",ROW()=9),Settings!$C$14&amp;TEXT(1000+COUNTIF($A$9:$A59,"x")+IF($A$9&lt;&gt;"x",1,0),"0000"),$C58))</f>
        <v/>
      </c>
      <c r="D59" s="46" t="n"/>
      <c r="E59" s="31">
        <f>IF($D59="","",IF($I59="","⚠️ Unknown code",_xlfn.XLOOKUP($I59,'Item Master'!$A$4:$A$53,'Item Master'!$C$4:$C$53,"")))</f>
        <v/>
      </c>
      <c r="F59" s="49" t="n"/>
      <c r="G59" s="36">
        <f>IF($I59="","",_xlfn.XLOOKUP($I59,'Item Master'!$A$4:$A$53,'Item Master'!$F$4:$F$53,0))</f>
        <v/>
      </c>
      <c r="H59" s="50">
        <f>IF($I59="","",$K59*$G59)</f>
        <v/>
      </c>
      <c r="I59" s="51">
        <f>IF($D59="","",IF(COUNTIF('Item Master'!$A$4:$A$53,$D59)&gt;0,$D59,_xlfn.XLOOKUP($D59,'Item Master'!$B$4:$B$53,'Item Master'!$A$4:$A$53,"")))</f>
        <v/>
      </c>
      <c r="J59" s="51">
        <f>IF($I59="","",$C59&amp;"|"&amp;COUNTIFS($C$9:$C59,$C59,$I$9:$I59,"?*"))</f>
        <v/>
      </c>
      <c r="K59" s="52">
        <f>IF($I59="","",IF($F59="",1,$F59))</f>
        <v/>
      </c>
    </row>
    <row r="60" ht="32" customHeight="1">
      <c r="A60" s="46" t="n"/>
      <c r="B60" s="47" t="n"/>
      <c r="C60" s="48">
        <f>IF($D60="","",IF(OR($A60="x",ROW()=9),Settings!$C$14&amp;TEXT(1000+COUNTIF($A$9:$A60,"x")+IF($A$9&lt;&gt;"x",1,0),"0000"),$C59))</f>
        <v/>
      </c>
      <c r="D60" s="46" t="n"/>
      <c r="E60" s="31">
        <f>IF($D60="","",IF($I60="","⚠️ Unknown code",_xlfn.XLOOKUP($I60,'Item Master'!$A$4:$A$53,'Item Master'!$C$4:$C$53,"")))</f>
        <v/>
      </c>
      <c r="F60" s="49" t="n"/>
      <c r="G60" s="36">
        <f>IF($I60="","",_xlfn.XLOOKUP($I60,'Item Master'!$A$4:$A$53,'Item Master'!$F$4:$F$53,0))</f>
        <v/>
      </c>
      <c r="H60" s="50">
        <f>IF($I60="","",$K60*$G60)</f>
        <v/>
      </c>
      <c r="I60" s="51">
        <f>IF($D60="","",IF(COUNTIF('Item Master'!$A$4:$A$53,$D60)&gt;0,$D60,_xlfn.XLOOKUP($D60,'Item Master'!$B$4:$B$53,'Item Master'!$A$4:$A$53,"")))</f>
        <v/>
      </c>
      <c r="J60" s="51">
        <f>IF($I60="","",$C60&amp;"|"&amp;COUNTIFS($C$9:$C60,$C60,$I$9:$I60,"?*"))</f>
        <v/>
      </c>
      <c r="K60" s="52">
        <f>IF($I60="","",IF($F60="",1,$F60))</f>
        <v/>
      </c>
    </row>
    <row r="61" ht="32" customHeight="1">
      <c r="A61" s="46" t="n"/>
      <c r="B61" s="47" t="n"/>
      <c r="C61" s="48">
        <f>IF($D61="","",IF(OR($A61="x",ROW()=9),Settings!$C$14&amp;TEXT(1000+COUNTIF($A$9:$A61,"x")+IF($A$9&lt;&gt;"x",1,0),"0000"),$C60))</f>
        <v/>
      </c>
      <c r="D61" s="46" t="n"/>
      <c r="E61" s="31">
        <f>IF($D61="","",IF($I61="","⚠️ Unknown code",_xlfn.XLOOKUP($I61,'Item Master'!$A$4:$A$53,'Item Master'!$C$4:$C$53,"")))</f>
        <v/>
      </c>
      <c r="F61" s="49" t="n"/>
      <c r="G61" s="36">
        <f>IF($I61="","",_xlfn.XLOOKUP($I61,'Item Master'!$A$4:$A$53,'Item Master'!$F$4:$F$53,0))</f>
        <v/>
      </c>
      <c r="H61" s="50">
        <f>IF($I61="","",$K61*$G61)</f>
        <v/>
      </c>
      <c r="I61" s="51">
        <f>IF($D61="","",IF(COUNTIF('Item Master'!$A$4:$A$53,$D61)&gt;0,$D61,_xlfn.XLOOKUP($D61,'Item Master'!$B$4:$B$53,'Item Master'!$A$4:$A$53,"")))</f>
        <v/>
      </c>
      <c r="J61" s="51">
        <f>IF($I61="","",$C61&amp;"|"&amp;COUNTIFS($C$9:$C61,$C61,$I$9:$I61,"?*"))</f>
        <v/>
      </c>
      <c r="K61" s="52">
        <f>IF($I61="","",IF($F61="",1,$F61))</f>
        <v/>
      </c>
    </row>
    <row r="62" ht="32" customHeight="1">
      <c r="A62" s="46" t="n"/>
      <c r="B62" s="47" t="n"/>
      <c r="C62" s="48">
        <f>IF($D62="","",IF(OR($A62="x",ROW()=9),Settings!$C$14&amp;TEXT(1000+COUNTIF($A$9:$A62,"x")+IF($A$9&lt;&gt;"x",1,0),"0000"),$C61))</f>
        <v/>
      </c>
      <c r="D62" s="46" t="n"/>
      <c r="E62" s="31">
        <f>IF($D62="","",IF($I62="","⚠️ Unknown code",_xlfn.XLOOKUP($I62,'Item Master'!$A$4:$A$53,'Item Master'!$C$4:$C$53,"")))</f>
        <v/>
      </c>
      <c r="F62" s="49" t="n"/>
      <c r="G62" s="36">
        <f>IF($I62="","",_xlfn.XLOOKUP($I62,'Item Master'!$A$4:$A$53,'Item Master'!$F$4:$F$53,0))</f>
        <v/>
      </c>
      <c r="H62" s="50">
        <f>IF($I62="","",$K62*$G62)</f>
        <v/>
      </c>
      <c r="I62" s="51">
        <f>IF($D62="","",IF(COUNTIF('Item Master'!$A$4:$A$53,$D62)&gt;0,$D62,_xlfn.XLOOKUP($D62,'Item Master'!$B$4:$B$53,'Item Master'!$A$4:$A$53,"")))</f>
        <v/>
      </c>
      <c r="J62" s="51">
        <f>IF($I62="","",$C62&amp;"|"&amp;COUNTIFS($C$9:$C62,$C62,$I$9:$I62,"?*"))</f>
        <v/>
      </c>
      <c r="K62" s="52">
        <f>IF($I62="","",IF($F62="",1,$F62))</f>
        <v/>
      </c>
    </row>
    <row r="63" ht="32" customHeight="1">
      <c r="A63" s="46" t="n"/>
      <c r="B63" s="47" t="n"/>
      <c r="C63" s="48">
        <f>IF($D63="","",IF(OR($A63="x",ROW()=9),Settings!$C$14&amp;TEXT(1000+COUNTIF($A$9:$A63,"x")+IF($A$9&lt;&gt;"x",1,0),"0000"),$C62))</f>
        <v/>
      </c>
      <c r="D63" s="46" t="n"/>
      <c r="E63" s="31">
        <f>IF($D63="","",IF($I63="","⚠️ Unknown code",_xlfn.XLOOKUP($I63,'Item Master'!$A$4:$A$53,'Item Master'!$C$4:$C$53,"")))</f>
        <v/>
      </c>
      <c r="F63" s="49" t="n"/>
      <c r="G63" s="36">
        <f>IF($I63="","",_xlfn.XLOOKUP($I63,'Item Master'!$A$4:$A$53,'Item Master'!$F$4:$F$53,0))</f>
        <v/>
      </c>
      <c r="H63" s="50">
        <f>IF($I63="","",$K63*$G63)</f>
        <v/>
      </c>
      <c r="I63" s="51">
        <f>IF($D63="","",IF(COUNTIF('Item Master'!$A$4:$A$53,$D63)&gt;0,$D63,_xlfn.XLOOKUP($D63,'Item Master'!$B$4:$B$53,'Item Master'!$A$4:$A$53,"")))</f>
        <v/>
      </c>
      <c r="J63" s="51">
        <f>IF($I63="","",$C63&amp;"|"&amp;COUNTIFS($C$9:$C63,$C63,$I$9:$I63,"?*"))</f>
        <v/>
      </c>
      <c r="K63" s="52">
        <f>IF($I63="","",IF($F63="",1,$F63))</f>
        <v/>
      </c>
    </row>
    <row r="64" ht="32" customHeight="1">
      <c r="A64" s="46" t="n"/>
      <c r="B64" s="47" t="n"/>
      <c r="C64" s="48">
        <f>IF($D64="","",IF(OR($A64="x",ROW()=9),Settings!$C$14&amp;TEXT(1000+COUNTIF($A$9:$A64,"x")+IF($A$9&lt;&gt;"x",1,0),"0000"),$C63))</f>
        <v/>
      </c>
      <c r="D64" s="46" t="n"/>
      <c r="E64" s="31">
        <f>IF($D64="","",IF($I64="","⚠️ Unknown code",_xlfn.XLOOKUP($I64,'Item Master'!$A$4:$A$53,'Item Master'!$C$4:$C$53,"")))</f>
        <v/>
      </c>
      <c r="F64" s="49" t="n"/>
      <c r="G64" s="36">
        <f>IF($I64="","",_xlfn.XLOOKUP($I64,'Item Master'!$A$4:$A$53,'Item Master'!$F$4:$F$53,0))</f>
        <v/>
      </c>
      <c r="H64" s="50">
        <f>IF($I64="","",$K64*$G64)</f>
        <v/>
      </c>
      <c r="I64" s="51">
        <f>IF($D64="","",IF(COUNTIF('Item Master'!$A$4:$A$53,$D64)&gt;0,$D64,_xlfn.XLOOKUP($D64,'Item Master'!$B$4:$B$53,'Item Master'!$A$4:$A$53,"")))</f>
        <v/>
      </c>
      <c r="J64" s="51">
        <f>IF($I64="","",$C64&amp;"|"&amp;COUNTIFS($C$9:$C64,$C64,$I$9:$I64,"?*"))</f>
        <v/>
      </c>
      <c r="K64" s="52">
        <f>IF($I64="","",IF($F64="",1,$F64))</f>
        <v/>
      </c>
    </row>
    <row r="65" ht="32" customHeight="1">
      <c r="A65" s="46" t="n"/>
      <c r="B65" s="47" t="n"/>
      <c r="C65" s="48">
        <f>IF($D65="","",IF(OR($A65="x",ROW()=9),Settings!$C$14&amp;TEXT(1000+COUNTIF($A$9:$A65,"x")+IF($A$9&lt;&gt;"x",1,0),"0000"),$C64))</f>
        <v/>
      </c>
      <c r="D65" s="46" t="n"/>
      <c r="E65" s="31">
        <f>IF($D65="","",IF($I65="","⚠️ Unknown code",_xlfn.XLOOKUP($I65,'Item Master'!$A$4:$A$53,'Item Master'!$C$4:$C$53,"")))</f>
        <v/>
      </c>
      <c r="F65" s="49" t="n"/>
      <c r="G65" s="36">
        <f>IF($I65="","",_xlfn.XLOOKUP($I65,'Item Master'!$A$4:$A$53,'Item Master'!$F$4:$F$53,0))</f>
        <v/>
      </c>
      <c r="H65" s="50">
        <f>IF($I65="","",$K65*$G65)</f>
        <v/>
      </c>
      <c r="I65" s="51">
        <f>IF($D65="","",IF(COUNTIF('Item Master'!$A$4:$A$53,$D65)&gt;0,$D65,_xlfn.XLOOKUP($D65,'Item Master'!$B$4:$B$53,'Item Master'!$A$4:$A$53,"")))</f>
        <v/>
      </c>
      <c r="J65" s="51">
        <f>IF($I65="","",$C65&amp;"|"&amp;COUNTIFS($C$9:$C65,$C65,$I$9:$I65,"?*"))</f>
        <v/>
      </c>
      <c r="K65" s="52">
        <f>IF($I65="","",IF($F65="",1,$F65))</f>
        <v/>
      </c>
    </row>
    <row r="66" ht="32" customHeight="1">
      <c r="A66" s="46" t="n"/>
      <c r="B66" s="47" t="n"/>
      <c r="C66" s="48">
        <f>IF($D66="","",IF(OR($A66="x",ROW()=9),Settings!$C$14&amp;TEXT(1000+COUNTIF($A$9:$A66,"x")+IF($A$9&lt;&gt;"x",1,0),"0000"),$C65))</f>
        <v/>
      </c>
      <c r="D66" s="46" t="n"/>
      <c r="E66" s="31">
        <f>IF($D66="","",IF($I66="","⚠️ Unknown code",_xlfn.XLOOKUP($I66,'Item Master'!$A$4:$A$53,'Item Master'!$C$4:$C$53,"")))</f>
        <v/>
      </c>
      <c r="F66" s="49" t="n"/>
      <c r="G66" s="36">
        <f>IF($I66="","",_xlfn.XLOOKUP($I66,'Item Master'!$A$4:$A$53,'Item Master'!$F$4:$F$53,0))</f>
        <v/>
      </c>
      <c r="H66" s="50">
        <f>IF($I66="","",$K66*$G66)</f>
        <v/>
      </c>
      <c r="I66" s="51">
        <f>IF($D66="","",IF(COUNTIF('Item Master'!$A$4:$A$53,$D66)&gt;0,$D66,_xlfn.XLOOKUP($D66,'Item Master'!$B$4:$B$53,'Item Master'!$A$4:$A$53,"")))</f>
        <v/>
      </c>
      <c r="J66" s="51">
        <f>IF($I66="","",$C66&amp;"|"&amp;COUNTIFS($C$9:$C66,$C66,$I$9:$I66,"?*"))</f>
        <v/>
      </c>
      <c r="K66" s="52">
        <f>IF($I66="","",IF($F66="",1,$F66))</f>
        <v/>
      </c>
    </row>
    <row r="67" ht="32" customHeight="1">
      <c r="A67" s="46" t="n"/>
      <c r="B67" s="47" t="n"/>
      <c r="C67" s="48">
        <f>IF($D67="","",IF(OR($A67="x",ROW()=9),Settings!$C$14&amp;TEXT(1000+COUNTIF($A$9:$A67,"x")+IF($A$9&lt;&gt;"x",1,0),"0000"),$C66))</f>
        <v/>
      </c>
      <c r="D67" s="46" t="n"/>
      <c r="E67" s="31">
        <f>IF($D67="","",IF($I67="","⚠️ Unknown code",_xlfn.XLOOKUP($I67,'Item Master'!$A$4:$A$53,'Item Master'!$C$4:$C$53,"")))</f>
        <v/>
      </c>
      <c r="F67" s="49" t="n"/>
      <c r="G67" s="36">
        <f>IF($I67="","",_xlfn.XLOOKUP($I67,'Item Master'!$A$4:$A$53,'Item Master'!$F$4:$F$53,0))</f>
        <v/>
      </c>
      <c r="H67" s="50">
        <f>IF($I67="","",$K67*$G67)</f>
        <v/>
      </c>
      <c r="I67" s="51">
        <f>IF($D67="","",IF(COUNTIF('Item Master'!$A$4:$A$53,$D67)&gt;0,$D67,_xlfn.XLOOKUP($D67,'Item Master'!$B$4:$B$53,'Item Master'!$A$4:$A$53,"")))</f>
        <v/>
      </c>
      <c r="J67" s="51">
        <f>IF($I67="","",$C67&amp;"|"&amp;COUNTIFS($C$9:$C67,$C67,$I$9:$I67,"?*"))</f>
        <v/>
      </c>
      <c r="K67" s="52">
        <f>IF($I67="","",IF($F67="",1,$F67))</f>
        <v/>
      </c>
    </row>
    <row r="68" ht="32" customHeight="1">
      <c r="A68" s="46" t="n"/>
      <c r="B68" s="47" t="n"/>
      <c r="C68" s="48">
        <f>IF($D68="","",IF(OR($A68="x",ROW()=9),Settings!$C$14&amp;TEXT(1000+COUNTIF($A$9:$A68,"x")+IF($A$9&lt;&gt;"x",1,0),"0000"),$C67))</f>
        <v/>
      </c>
      <c r="D68" s="46" t="n"/>
      <c r="E68" s="31">
        <f>IF($D68="","",IF($I68="","⚠️ Unknown code",_xlfn.XLOOKUP($I68,'Item Master'!$A$4:$A$53,'Item Master'!$C$4:$C$53,"")))</f>
        <v/>
      </c>
      <c r="F68" s="49" t="n"/>
      <c r="G68" s="36">
        <f>IF($I68="","",_xlfn.XLOOKUP($I68,'Item Master'!$A$4:$A$53,'Item Master'!$F$4:$F$53,0))</f>
        <v/>
      </c>
      <c r="H68" s="50">
        <f>IF($I68="","",$K68*$G68)</f>
        <v/>
      </c>
      <c r="I68" s="51">
        <f>IF($D68="","",IF(COUNTIF('Item Master'!$A$4:$A$53,$D68)&gt;0,$D68,_xlfn.XLOOKUP($D68,'Item Master'!$B$4:$B$53,'Item Master'!$A$4:$A$53,"")))</f>
        <v/>
      </c>
      <c r="J68" s="51">
        <f>IF($I68="","",$C68&amp;"|"&amp;COUNTIFS($C$9:$C68,$C68,$I$9:$I68,"?*"))</f>
        <v/>
      </c>
      <c r="K68" s="52">
        <f>IF($I68="","",IF($F68="",1,$F68))</f>
        <v/>
      </c>
    </row>
    <row r="69" ht="32" customHeight="1">
      <c r="A69" s="46" t="n"/>
      <c r="B69" s="47" t="n"/>
      <c r="C69" s="48">
        <f>IF($D69="","",IF(OR($A69="x",ROW()=9),Settings!$C$14&amp;TEXT(1000+COUNTIF($A$9:$A69,"x")+IF($A$9&lt;&gt;"x",1,0),"0000"),$C68))</f>
        <v/>
      </c>
      <c r="D69" s="46" t="n"/>
      <c r="E69" s="31">
        <f>IF($D69="","",IF($I69="","⚠️ Unknown code",_xlfn.XLOOKUP($I69,'Item Master'!$A$4:$A$53,'Item Master'!$C$4:$C$53,"")))</f>
        <v/>
      </c>
      <c r="F69" s="49" t="n"/>
      <c r="G69" s="36">
        <f>IF($I69="","",_xlfn.XLOOKUP($I69,'Item Master'!$A$4:$A$53,'Item Master'!$F$4:$F$53,0))</f>
        <v/>
      </c>
      <c r="H69" s="50">
        <f>IF($I69="","",$K69*$G69)</f>
        <v/>
      </c>
      <c r="I69" s="51">
        <f>IF($D69="","",IF(COUNTIF('Item Master'!$A$4:$A$53,$D69)&gt;0,$D69,_xlfn.XLOOKUP($D69,'Item Master'!$B$4:$B$53,'Item Master'!$A$4:$A$53,"")))</f>
        <v/>
      </c>
      <c r="J69" s="51">
        <f>IF($I69="","",$C69&amp;"|"&amp;COUNTIFS($C$9:$C69,$C69,$I$9:$I69,"?*"))</f>
        <v/>
      </c>
      <c r="K69" s="52">
        <f>IF($I69="","",IF($F69="",1,$F69))</f>
        <v/>
      </c>
    </row>
    <row r="70" ht="32" customHeight="1">
      <c r="A70" s="46" t="n"/>
      <c r="B70" s="47" t="n"/>
      <c r="C70" s="48">
        <f>IF($D70="","",IF(OR($A70="x",ROW()=9),Settings!$C$14&amp;TEXT(1000+COUNTIF($A$9:$A70,"x")+IF($A$9&lt;&gt;"x",1,0),"0000"),$C69))</f>
        <v/>
      </c>
      <c r="D70" s="46" t="n"/>
      <c r="E70" s="31">
        <f>IF($D70="","",IF($I70="","⚠️ Unknown code",_xlfn.XLOOKUP($I70,'Item Master'!$A$4:$A$53,'Item Master'!$C$4:$C$53,"")))</f>
        <v/>
      </c>
      <c r="F70" s="49" t="n"/>
      <c r="G70" s="36">
        <f>IF($I70="","",_xlfn.XLOOKUP($I70,'Item Master'!$A$4:$A$53,'Item Master'!$F$4:$F$53,0))</f>
        <v/>
      </c>
      <c r="H70" s="50">
        <f>IF($I70="","",$K70*$G70)</f>
        <v/>
      </c>
      <c r="I70" s="51">
        <f>IF($D70="","",IF(COUNTIF('Item Master'!$A$4:$A$53,$D70)&gt;0,$D70,_xlfn.XLOOKUP($D70,'Item Master'!$B$4:$B$53,'Item Master'!$A$4:$A$53,"")))</f>
        <v/>
      </c>
      <c r="J70" s="51">
        <f>IF($I70="","",$C70&amp;"|"&amp;COUNTIFS($C$9:$C70,$C70,$I$9:$I70,"?*"))</f>
        <v/>
      </c>
      <c r="K70" s="52">
        <f>IF($I70="","",IF($F70="",1,$F70))</f>
        <v/>
      </c>
    </row>
    <row r="71" ht="32" customHeight="1">
      <c r="A71" s="46" t="n"/>
      <c r="B71" s="47" t="n"/>
      <c r="C71" s="48">
        <f>IF($D71="","",IF(OR($A71="x",ROW()=9),Settings!$C$14&amp;TEXT(1000+COUNTIF($A$9:$A71,"x")+IF($A$9&lt;&gt;"x",1,0),"0000"),$C70))</f>
        <v/>
      </c>
      <c r="D71" s="46" t="n"/>
      <c r="E71" s="31">
        <f>IF($D71="","",IF($I71="","⚠️ Unknown code",_xlfn.XLOOKUP($I71,'Item Master'!$A$4:$A$53,'Item Master'!$C$4:$C$53,"")))</f>
        <v/>
      </c>
      <c r="F71" s="49" t="n"/>
      <c r="G71" s="36">
        <f>IF($I71="","",_xlfn.XLOOKUP($I71,'Item Master'!$A$4:$A$53,'Item Master'!$F$4:$F$53,0))</f>
        <v/>
      </c>
      <c r="H71" s="50">
        <f>IF($I71="","",$K71*$G71)</f>
        <v/>
      </c>
      <c r="I71" s="51">
        <f>IF($D71="","",IF(COUNTIF('Item Master'!$A$4:$A$53,$D71)&gt;0,$D71,_xlfn.XLOOKUP($D71,'Item Master'!$B$4:$B$53,'Item Master'!$A$4:$A$53,"")))</f>
        <v/>
      </c>
      <c r="J71" s="51">
        <f>IF($I71="","",$C71&amp;"|"&amp;COUNTIFS($C$9:$C71,$C71,$I$9:$I71,"?*"))</f>
        <v/>
      </c>
      <c r="K71" s="52">
        <f>IF($I71="","",IF($F71="",1,$F71))</f>
        <v/>
      </c>
    </row>
    <row r="72" ht="32" customHeight="1">
      <c r="A72" s="46" t="n"/>
      <c r="B72" s="47" t="n"/>
      <c r="C72" s="48">
        <f>IF($D72="","",IF(OR($A72="x",ROW()=9),Settings!$C$14&amp;TEXT(1000+COUNTIF($A$9:$A72,"x")+IF($A$9&lt;&gt;"x",1,0),"0000"),$C71))</f>
        <v/>
      </c>
      <c r="D72" s="46" t="n"/>
      <c r="E72" s="31">
        <f>IF($D72="","",IF($I72="","⚠️ Unknown code",_xlfn.XLOOKUP($I72,'Item Master'!$A$4:$A$53,'Item Master'!$C$4:$C$53,"")))</f>
        <v/>
      </c>
      <c r="F72" s="49" t="n"/>
      <c r="G72" s="36">
        <f>IF($I72="","",_xlfn.XLOOKUP($I72,'Item Master'!$A$4:$A$53,'Item Master'!$F$4:$F$53,0))</f>
        <v/>
      </c>
      <c r="H72" s="50">
        <f>IF($I72="","",$K72*$G72)</f>
        <v/>
      </c>
      <c r="I72" s="51">
        <f>IF($D72="","",IF(COUNTIF('Item Master'!$A$4:$A$53,$D72)&gt;0,$D72,_xlfn.XLOOKUP($D72,'Item Master'!$B$4:$B$53,'Item Master'!$A$4:$A$53,"")))</f>
        <v/>
      </c>
      <c r="J72" s="51">
        <f>IF($I72="","",$C72&amp;"|"&amp;COUNTIFS($C$9:$C72,$C72,$I$9:$I72,"?*"))</f>
        <v/>
      </c>
      <c r="K72" s="52">
        <f>IF($I72="","",IF($F72="",1,$F72))</f>
        <v/>
      </c>
    </row>
    <row r="73" ht="32" customHeight="1">
      <c r="A73" s="46" t="n"/>
      <c r="B73" s="47" t="n"/>
      <c r="C73" s="48">
        <f>IF($D73="","",IF(OR($A73="x",ROW()=9),Settings!$C$14&amp;TEXT(1000+COUNTIF($A$9:$A73,"x")+IF($A$9&lt;&gt;"x",1,0),"0000"),$C72))</f>
        <v/>
      </c>
      <c r="D73" s="46" t="n"/>
      <c r="E73" s="31">
        <f>IF($D73="","",IF($I73="","⚠️ Unknown code",_xlfn.XLOOKUP($I73,'Item Master'!$A$4:$A$53,'Item Master'!$C$4:$C$53,"")))</f>
        <v/>
      </c>
      <c r="F73" s="49" t="n"/>
      <c r="G73" s="36">
        <f>IF($I73="","",_xlfn.XLOOKUP($I73,'Item Master'!$A$4:$A$53,'Item Master'!$F$4:$F$53,0))</f>
        <v/>
      </c>
      <c r="H73" s="50">
        <f>IF($I73="","",$K73*$G73)</f>
        <v/>
      </c>
      <c r="I73" s="51">
        <f>IF($D73="","",IF(COUNTIF('Item Master'!$A$4:$A$53,$D73)&gt;0,$D73,_xlfn.XLOOKUP($D73,'Item Master'!$B$4:$B$53,'Item Master'!$A$4:$A$53,"")))</f>
        <v/>
      </c>
      <c r="J73" s="51">
        <f>IF($I73="","",$C73&amp;"|"&amp;COUNTIFS($C$9:$C73,$C73,$I$9:$I73,"?*"))</f>
        <v/>
      </c>
      <c r="K73" s="52">
        <f>IF($I73="","",IF($F73="",1,$F73))</f>
        <v/>
      </c>
    </row>
    <row r="74" ht="32" customHeight="1">
      <c r="A74" s="46" t="n"/>
      <c r="B74" s="47" t="n"/>
      <c r="C74" s="48">
        <f>IF($D74="","",IF(OR($A74="x",ROW()=9),Settings!$C$14&amp;TEXT(1000+COUNTIF($A$9:$A74,"x")+IF($A$9&lt;&gt;"x",1,0),"0000"),$C73))</f>
        <v/>
      </c>
      <c r="D74" s="46" t="n"/>
      <c r="E74" s="31">
        <f>IF($D74="","",IF($I74="","⚠️ Unknown code",_xlfn.XLOOKUP($I74,'Item Master'!$A$4:$A$53,'Item Master'!$C$4:$C$53,"")))</f>
        <v/>
      </c>
      <c r="F74" s="49" t="n"/>
      <c r="G74" s="36">
        <f>IF($I74="","",_xlfn.XLOOKUP($I74,'Item Master'!$A$4:$A$53,'Item Master'!$F$4:$F$53,0))</f>
        <v/>
      </c>
      <c r="H74" s="50">
        <f>IF($I74="","",$K74*$G74)</f>
        <v/>
      </c>
      <c r="I74" s="51">
        <f>IF($D74="","",IF(COUNTIF('Item Master'!$A$4:$A$53,$D74)&gt;0,$D74,_xlfn.XLOOKUP($D74,'Item Master'!$B$4:$B$53,'Item Master'!$A$4:$A$53,"")))</f>
        <v/>
      </c>
      <c r="J74" s="51">
        <f>IF($I74="","",$C74&amp;"|"&amp;COUNTIFS($C$9:$C74,$C74,$I$9:$I74,"?*"))</f>
        <v/>
      </c>
      <c r="K74" s="52">
        <f>IF($I74="","",IF($F74="",1,$F74))</f>
        <v/>
      </c>
    </row>
    <row r="75" ht="32" customHeight="1">
      <c r="A75" s="46" t="n"/>
      <c r="B75" s="47" t="n"/>
      <c r="C75" s="48">
        <f>IF($D75="","",IF(OR($A75="x",ROW()=9),Settings!$C$14&amp;TEXT(1000+COUNTIF($A$9:$A75,"x")+IF($A$9&lt;&gt;"x",1,0),"0000"),$C74))</f>
        <v/>
      </c>
      <c r="D75" s="46" t="n"/>
      <c r="E75" s="31">
        <f>IF($D75="","",IF($I75="","⚠️ Unknown code",_xlfn.XLOOKUP($I75,'Item Master'!$A$4:$A$53,'Item Master'!$C$4:$C$53,"")))</f>
        <v/>
      </c>
      <c r="F75" s="49" t="n"/>
      <c r="G75" s="36">
        <f>IF($I75="","",_xlfn.XLOOKUP($I75,'Item Master'!$A$4:$A$53,'Item Master'!$F$4:$F$53,0))</f>
        <v/>
      </c>
      <c r="H75" s="50">
        <f>IF($I75="","",$K75*$G75)</f>
        <v/>
      </c>
      <c r="I75" s="51">
        <f>IF($D75="","",IF(COUNTIF('Item Master'!$A$4:$A$53,$D75)&gt;0,$D75,_xlfn.XLOOKUP($D75,'Item Master'!$B$4:$B$53,'Item Master'!$A$4:$A$53,"")))</f>
        <v/>
      </c>
      <c r="J75" s="51">
        <f>IF($I75="","",$C75&amp;"|"&amp;COUNTIFS($C$9:$C75,$C75,$I$9:$I75,"?*"))</f>
        <v/>
      </c>
      <c r="K75" s="52">
        <f>IF($I75="","",IF($F75="",1,$F75))</f>
        <v/>
      </c>
    </row>
    <row r="76" ht="32" customHeight="1">
      <c r="A76" s="46" t="n"/>
      <c r="B76" s="47" t="n"/>
      <c r="C76" s="48">
        <f>IF($D76="","",IF(OR($A76="x",ROW()=9),Settings!$C$14&amp;TEXT(1000+COUNTIF($A$9:$A76,"x")+IF($A$9&lt;&gt;"x",1,0),"0000"),$C75))</f>
        <v/>
      </c>
      <c r="D76" s="46" t="n"/>
      <c r="E76" s="31">
        <f>IF($D76="","",IF($I76="","⚠️ Unknown code",_xlfn.XLOOKUP($I76,'Item Master'!$A$4:$A$53,'Item Master'!$C$4:$C$53,"")))</f>
        <v/>
      </c>
      <c r="F76" s="49" t="n"/>
      <c r="G76" s="36">
        <f>IF($I76="","",_xlfn.XLOOKUP($I76,'Item Master'!$A$4:$A$53,'Item Master'!$F$4:$F$53,0))</f>
        <v/>
      </c>
      <c r="H76" s="50">
        <f>IF($I76="","",$K76*$G76)</f>
        <v/>
      </c>
      <c r="I76" s="51">
        <f>IF($D76="","",IF(COUNTIF('Item Master'!$A$4:$A$53,$D76)&gt;0,$D76,_xlfn.XLOOKUP($D76,'Item Master'!$B$4:$B$53,'Item Master'!$A$4:$A$53,"")))</f>
        <v/>
      </c>
      <c r="J76" s="51">
        <f>IF($I76="","",$C76&amp;"|"&amp;COUNTIFS($C$9:$C76,$C76,$I$9:$I76,"?*"))</f>
        <v/>
      </c>
      <c r="K76" s="52">
        <f>IF($I76="","",IF($F76="",1,$F76))</f>
        <v/>
      </c>
    </row>
    <row r="77" ht="32" customHeight="1">
      <c r="A77" s="46" t="n"/>
      <c r="B77" s="47" t="n"/>
      <c r="C77" s="48">
        <f>IF($D77="","",IF(OR($A77="x",ROW()=9),Settings!$C$14&amp;TEXT(1000+COUNTIF($A$9:$A77,"x")+IF($A$9&lt;&gt;"x",1,0),"0000"),$C76))</f>
        <v/>
      </c>
      <c r="D77" s="46" t="n"/>
      <c r="E77" s="31">
        <f>IF($D77="","",IF($I77="","⚠️ Unknown code",_xlfn.XLOOKUP($I77,'Item Master'!$A$4:$A$53,'Item Master'!$C$4:$C$53,"")))</f>
        <v/>
      </c>
      <c r="F77" s="49" t="n"/>
      <c r="G77" s="36">
        <f>IF($I77="","",_xlfn.XLOOKUP($I77,'Item Master'!$A$4:$A$53,'Item Master'!$F$4:$F$53,0))</f>
        <v/>
      </c>
      <c r="H77" s="50">
        <f>IF($I77="","",$K77*$G77)</f>
        <v/>
      </c>
      <c r="I77" s="51">
        <f>IF($D77="","",IF(COUNTIF('Item Master'!$A$4:$A$53,$D77)&gt;0,$D77,_xlfn.XLOOKUP($D77,'Item Master'!$B$4:$B$53,'Item Master'!$A$4:$A$53,"")))</f>
        <v/>
      </c>
      <c r="J77" s="51">
        <f>IF($I77="","",$C77&amp;"|"&amp;COUNTIFS($C$9:$C77,$C77,$I$9:$I77,"?*"))</f>
        <v/>
      </c>
      <c r="K77" s="52">
        <f>IF($I77="","",IF($F77="",1,$F77))</f>
        <v/>
      </c>
    </row>
    <row r="78" ht="32" customHeight="1">
      <c r="A78" s="46" t="n"/>
      <c r="B78" s="47" t="n"/>
      <c r="C78" s="48">
        <f>IF($D78="","",IF(OR($A78="x",ROW()=9),Settings!$C$14&amp;TEXT(1000+COUNTIF($A$9:$A78,"x")+IF($A$9&lt;&gt;"x",1,0),"0000"),$C77))</f>
        <v/>
      </c>
      <c r="D78" s="46" t="n"/>
      <c r="E78" s="31">
        <f>IF($D78="","",IF($I78="","⚠️ Unknown code",_xlfn.XLOOKUP($I78,'Item Master'!$A$4:$A$53,'Item Master'!$C$4:$C$53,"")))</f>
        <v/>
      </c>
      <c r="F78" s="49" t="n"/>
      <c r="G78" s="36">
        <f>IF($I78="","",_xlfn.XLOOKUP($I78,'Item Master'!$A$4:$A$53,'Item Master'!$F$4:$F$53,0))</f>
        <v/>
      </c>
      <c r="H78" s="50">
        <f>IF($I78="","",$K78*$G78)</f>
        <v/>
      </c>
      <c r="I78" s="51">
        <f>IF($D78="","",IF(COUNTIF('Item Master'!$A$4:$A$53,$D78)&gt;0,$D78,_xlfn.XLOOKUP($D78,'Item Master'!$B$4:$B$53,'Item Master'!$A$4:$A$53,"")))</f>
        <v/>
      </c>
      <c r="J78" s="51">
        <f>IF($I78="","",$C78&amp;"|"&amp;COUNTIFS($C$9:$C78,$C78,$I$9:$I78,"?*"))</f>
        <v/>
      </c>
      <c r="K78" s="52">
        <f>IF($I78="","",IF($F78="",1,$F78))</f>
        <v/>
      </c>
    </row>
    <row r="79" ht="32" customHeight="1">
      <c r="A79" s="46" t="n"/>
      <c r="B79" s="47" t="n"/>
      <c r="C79" s="48">
        <f>IF($D79="","",IF(OR($A79="x",ROW()=9),Settings!$C$14&amp;TEXT(1000+COUNTIF($A$9:$A79,"x")+IF($A$9&lt;&gt;"x",1,0),"0000"),$C78))</f>
        <v/>
      </c>
      <c r="D79" s="46" t="n"/>
      <c r="E79" s="31">
        <f>IF($D79="","",IF($I79="","⚠️ Unknown code",_xlfn.XLOOKUP($I79,'Item Master'!$A$4:$A$53,'Item Master'!$C$4:$C$53,"")))</f>
        <v/>
      </c>
      <c r="F79" s="49" t="n"/>
      <c r="G79" s="36">
        <f>IF($I79="","",_xlfn.XLOOKUP($I79,'Item Master'!$A$4:$A$53,'Item Master'!$F$4:$F$53,0))</f>
        <v/>
      </c>
      <c r="H79" s="50">
        <f>IF($I79="","",$K79*$G79)</f>
        <v/>
      </c>
      <c r="I79" s="51">
        <f>IF($D79="","",IF(COUNTIF('Item Master'!$A$4:$A$53,$D79)&gt;0,$D79,_xlfn.XLOOKUP($D79,'Item Master'!$B$4:$B$53,'Item Master'!$A$4:$A$53,"")))</f>
        <v/>
      </c>
      <c r="J79" s="51">
        <f>IF($I79="","",$C79&amp;"|"&amp;COUNTIFS($C$9:$C79,$C79,$I$9:$I79,"?*"))</f>
        <v/>
      </c>
      <c r="K79" s="52">
        <f>IF($I79="","",IF($F79="",1,$F79))</f>
        <v/>
      </c>
    </row>
    <row r="80" ht="32" customHeight="1">
      <c r="A80" s="46" t="n"/>
      <c r="B80" s="47" t="n"/>
      <c r="C80" s="48">
        <f>IF($D80="","",IF(OR($A80="x",ROW()=9),Settings!$C$14&amp;TEXT(1000+COUNTIF($A$9:$A80,"x")+IF($A$9&lt;&gt;"x",1,0),"0000"),$C79))</f>
        <v/>
      </c>
      <c r="D80" s="46" t="n"/>
      <c r="E80" s="31">
        <f>IF($D80="","",IF($I80="","⚠️ Unknown code",_xlfn.XLOOKUP($I80,'Item Master'!$A$4:$A$53,'Item Master'!$C$4:$C$53,"")))</f>
        <v/>
      </c>
      <c r="F80" s="49" t="n"/>
      <c r="G80" s="36">
        <f>IF($I80="","",_xlfn.XLOOKUP($I80,'Item Master'!$A$4:$A$53,'Item Master'!$F$4:$F$53,0))</f>
        <v/>
      </c>
      <c r="H80" s="50">
        <f>IF($I80="","",$K80*$G80)</f>
        <v/>
      </c>
      <c r="I80" s="51">
        <f>IF($D80="","",IF(COUNTIF('Item Master'!$A$4:$A$53,$D80)&gt;0,$D80,_xlfn.XLOOKUP($D80,'Item Master'!$B$4:$B$53,'Item Master'!$A$4:$A$53,"")))</f>
        <v/>
      </c>
      <c r="J80" s="51">
        <f>IF($I80="","",$C80&amp;"|"&amp;COUNTIFS($C$9:$C80,$C80,$I$9:$I80,"?*"))</f>
        <v/>
      </c>
      <c r="K80" s="52">
        <f>IF($I80="","",IF($F80="",1,$F80))</f>
        <v/>
      </c>
    </row>
    <row r="81" ht="32" customHeight="1">
      <c r="A81" s="46" t="n"/>
      <c r="B81" s="47" t="n"/>
      <c r="C81" s="48">
        <f>IF($D81="","",IF(OR($A81="x",ROW()=9),Settings!$C$14&amp;TEXT(1000+COUNTIF($A$9:$A81,"x")+IF($A$9&lt;&gt;"x",1,0),"0000"),$C80))</f>
        <v/>
      </c>
      <c r="D81" s="46" t="n"/>
      <c r="E81" s="31">
        <f>IF($D81="","",IF($I81="","⚠️ Unknown code",_xlfn.XLOOKUP($I81,'Item Master'!$A$4:$A$53,'Item Master'!$C$4:$C$53,"")))</f>
        <v/>
      </c>
      <c r="F81" s="49" t="n"/>
      <c r="G81" s="36">
        <f>IF($I81="","",_xlfn.XLOOKUP($I81,'Item Master'!$A$4:$A$53,'Item Master'!$F$4:$F$53,0))</f>
        <v/>
      </c>
      <c r="H81" s="50">
        <f>IF($I81="","",$K81*$G81)</f>
        <v/>
      </c>
      <c r="I81" s="51">
        <f>IF($D81="","",IF(COUNTIF('Item Master'!$A$4:$A$53,$D81)&gt;0,$D81,_xlfn.XLOOKUP($D81,'Item Master'!$B$4:$B$53,'Item Master'!$A$4:$A$53,"")))</f>
        <v/>
      </c>
      <c r="J81" s="51">
        <f>IF($I81="","",$C81&amp;"|"&amp;COUNTIFS($C$9:$C81,$C81,$I$9:$I81,"?*"))</f>
        <v/>
      </c>
      <c r="K81" s="52">
        <f>IF($I81="","",IF($F81="",1,$F81))</f>
        <v/>
      </c>
    </row>
    <row r="82" ht="32" customHeight="1">
      <c r="A82" s="46" t="n"/>
      <c r="B82" s="47" t="n"/>
      <c r="C82" s="48">
        <f>IF($D82="","",IF(OR($A82="x",ROW()=9),Settings!$C$14&amp;TEXT(1000+COUNTIF($A$9:$A82,"x")+IF($A$9&lt;&gt;"x",1,0),"0000"),$C81))</f>
        <v/>
      </c>
      <c r="D82" s="46" t="n"/>
      <c r="E82" s="31">
        <f>IF($D82="","",IF($I82="","⚠️ Unknown code",_xlfn.XLOOKUP($I82,'Item Master'!$A$4:$A$53,'Item Master'!$C$4:$C$53,"")))</f>
        <v/>
      </c>
      <c r="F82" s="49" t="n"/>
      <c r="G82" s="36">
        <f>IF($I82="","",_xlfn.XLOOKUP($I82,'Item Master'!$A$4:$A$53,'Item Master'!$F$4:$F$53,0))</f>
        <v/>
      </c>
      <c r="H82" s="50">
        <f>IF($I82="","",$K82*$G82)</f>
        <v/>
      </c>
      <c r="I82" s="51">
        <f>IF($D82="","",IF(COUNTIF('Item Master'!$A$4:$A$53,$D82)&gt;0,$D82,_xlfn.XLOOKUP($D82,'Item Master'!$B$4:$B$53,'Item Master'!$A$4:$A$53,"")))</f>
        <v/>
      </c>
      <c r="J82" s="51">
        <f>IF($I82="","",$C82&amp;"|"&amp;COUNTIFS($C$9:$C82,$C82,$I$9:$I82,"?*"))</f>
        <v/>
      </c>
      <c r="K82" s="52">
        <f>IF($I82="","",IF($F82="",1,$F82))</f>
        <v/>
      </c>
    </row>
    <row r="83" ht="32" customHeight="1">
      <c r="A83" s="46" t="n"/>
      <c r="B83" s="47" t="n"/>
      <c r="C83" s="48">
        <f>IF($D83="","",IF(OR($A83="x",ROW()=9),Settings!$C$14&amp;TEXT(1000+COUNTIF($A$9:$A83,"x")+IF($A$9&lt;&gt;"x",1,0),"0000"),$C82))</f>
        <v/>
      </c>
      <c r="D83" s="46" t="n"/>
      <c r="E83" s="31">
        <f>IF($D83="","",IF($I83="","⚠️ Unknown code",_xlfn.XLOOKUP($I83,'Item Master'!$A$4:$A$53,'Item Master'!$C$4:$C$53,"")))</f>
        <v/>
      </c>
      <c r="F83" s="49" t="n"/>
      <c r="G83" s="36">
        <f>IF($I83="","",_xlfn.XLOOKUP($I83,'Item Master'!$A$4:$A$53,'Item Master'!$F$4:$F$53,0))</f>
        <v/>
      </c>
      <c r="H83" s="50">
        <f>IF($I83="","",$K83*$G83)</f>
        <v/>
      </c>
      <c r="I83" s="51">
        <f>IF($D83="","",IF(COUNTIF('Item Master'!$A$4:$A$53,$D83)&gt;0,$D83,_xlfn.XLOOKUP($D83,'Item Master'!$B$4:$B$53,'Item Master'!$A$4:$A$53,"")))</f>
        <v/>
      </c>
      <c r="J83" s="51">
        <f>IF($I83="","",$C83&amp;"|"&amp;COUNTIFS($C$9:$C83,$C83,$I$9:$I83,"?*"))</f>
        <v/>
      </c>
      <c r="K83" s="52">
        <f>IF($I83="","",IF($F83="",1,$F83))</f>
        <v/>
      </c>
    </row>
    <row r="84" ht="32" customHeight="1">
      <c r="A84" s="46" t="n"/>
      <c r="B84" s="47" t="n"/>
      <c r="C84" s="48">
        <f>IF($D84="","",IF(OR($A84="x",ROW()=9),Settings!$C$14&amp;TEXT(1000+COUNTIF($A$9:$A84,"x")+IF($A$9&lt;&gt;"x",1,0),"0000"),$C83))</f>
        <v/>
      </c>
      <c r="D84" s="46" t="n"/>
      <c r="E84" s="31">
        <f>IF($D84="","",IF($I84="","⚠️ Unknown code",_xlfn.XLOOKUP($I84,'Item Master'!$A$4:$A$53,'Item Master'!$C$4:$C$53,"")))</f>
        <v/>
      </c>
      <c r="F84" s="49" t="n"/>
      <c r="G84" s="36">
        <f>IF($I84="","",_xlfn.XLOOKUP($I84,'Item Master'!$A$4:$A$53,'Item Master'!$F$4:$F$53,0))</f>
        <v/>
      </c>
      <c r="H84" s="50">
        <f>IF($I84="","",$K84*$G84)</f>
        <v/>
      </c>
      <c r="I84" s="51">
        <f>IF($D84="","",IF(COUNTIF('Item Master'!$A$4:$A$53,$D84)&gt;0,$D84,_xlfn.XLOOKUP($D84,'Item Master'!$B$4:$B$53,'Item Master'!$A$4:$A$53,"")))</f>
        <v/>
      </c>
      <c r="J84" s="51">
        <f>IF($I84="","",$C84&amp;"|"&amp;COUNTIFS($C$9:$C84,$C84,$I$9:$I84,"?*"))</f>
        <v/>
      </c>
      <c r="K84" s="52">
        <f>IF($I84="","",IF($F84="",1,$F84))</f>
        <v/>
      </c>
    </row>
    <row r="85" ht="32" customHeight="1">
      <c r="A85" s="46" t="n"/>
      <c r="B85" s="47" t="n"/>
      <c r="C85" s="48">
        <f>IF($D85="","",IF(OR($A85="x",ROW()=9),Settings!$C$14&amp;TEXT(1000+COUNTIF($A$9:$A85,"x")+IF($A$9&lt;&gt;"x",1,0),"0000"),$C84))</f>
        <v/>
      </c>
      <c r="D85" s="46" t="n"/>
      <c r="E85" s="31">
        <f>IF($D85="","",IF($I85="","⚠️ Unknown code",_xlfn.XLOOKUP($I85,'Item Master'!$A$4:$A$53,'Item Master'!$C$4:$C$53,"")))</f>
        <v/>
      </c>
      <c r="F85" s="49" t="n"/>
      <c r="G85" s="36">
        <f>IF($I85="","",_xlfn.XLOOKUP($I85,'Item Master'!$A$4:$A$53,'Item Master'!$F$4:$F$53,0))</f>
        <v/>
      </c>
      <c r="H85" s="50">
        <f>IF($I85="","",$K85*$G85)</f>
        <v/>
      </c>
      <c r="I85" s="51">
        <f>IF($D85="","",IF(COUNTIF('Item Master'!$A$4:$A$53,$D85)&gt;0,$D85,_xlfn.XLOOKUP($D85,'Item Master'!$B$4:$B$53,'Item Master'!$A$4:$A$53,"")))</f>
        <v/>
      </c>
      <c r="J85" s="51">
        <f>IF($I85="","",$C85&amp;"|"&amp;COUNTIFS($C$9:$C85,$C85,$I$9:$I85,"?*"))</f>
        <v/>
      </c>
      <c r="K85" s="52">
        <f>IF($I85="","",IF($F85="",1,$F85))</f>
        <v/>
      </c>
    </row>
    <row r="86" ht="32" customHeight="1">
      <c r="A86" s="46" t="n"/>
      <c r="B86" s="47" t="n"/>
      <c r="C86" s="48">
        <f>IF($D86="","",IF(OR($A86="x",ROW()=9),Settings!$C$14&amp;TEXT(1000+COUNTIF($A$9:$A86,"x")+IF($A$9&lt;&gt;"x",1,0),"0000"),$C85))</f>
        <v/>
      </c>
      <c r="D86" s="46" t="n"/>
      <c r="E86" s="31">
        <f>IF($D86="","",IF($I86="","⚠️ Unknown code",_xlfn.XLOOKUP($I86,'Item Master'!$A$4:$A$53,'Item Master'!$C$4:$C$53,"")))</f>
        <v/>
      </c>
      <c r="F86" s="49" t="n"/>
      <c r="G86" s="36">
        <f>IF($I86="","",_xlfn.XLOOKUP($I86,'Item Master'!$A$4:$A$53,'Item Master'!$F$4:$F$53,0))</f>
        <v/>
      </c>
      <c r="H86" s="50">
        <f>IF($I86="","",$K86*$G86)</f>
        <v/>
      </c>
      <c r="I86" s="51">
        <f>IF($D86="","",IF(COUNTIF('Item Master'!$A$4:$A$53,$D86)&gt;0,$D86,_xlfn.XLOOKUP($D86,'Item Master'!$B$4:$B$53,'Item Master'!$A$4:$A$53,"")))</f>
        <v/>
      </c>
      <c r="J86" s="51">
        <f>IF($I86="","",$C86&amp;"|"&amp;COUNTIFS($C$9:$C86,$C86,$I$9:$I86,"?*"))</f>
        <v/>
      </c>
      <c r="K86" s="52">
        <f>IF($I86="","",IF($F86="",1,$F86))</f>
        <v/>
      </c>
    </row>
    <row r="87" ht="32" customHeight="1">
      <c r="A87" s="46" t="n"/>
      <c r="B87" s="47" t="n"/>
      <c r="C87" s="48">
        <f>IF($D87="","",IF(OR($A87="x",ROW()=9),Settings!$C$14&amp;TEXT(1000+COUNTIF($A$9:$A87,"x")+IF($A$9&lt;&gt;"x",1,0),"0000"),$C86))</f>
        <v/>
      </c>
      <c r="D87" s="46" t="n"/>
      <c r="E87" s="31">
        <f>IF($D87="","",IF($I87="","⚠️ Unknown code",_xlfn.XLOOKUP($I87,'Item Master'!$A$4:$A$53,'Item Master'!$C$4:$C$53,"")))</f>
        <v/>
      </c>
      <c r="F87" s="49" t="n"/>
      <c r="G87" s="36">
        <f>IF($I87="","",_xlfn.XLOOKUP($I87,'Item Master'!$A$4:$A$53,'Item Master'!$F$4:$F$53,0))</f>
        <v/>
      </c>
      <c r="H87" s="50">
        <f>IF($I87="","",$K87*$G87)</f>
        <v/>
      </c>
      <c r="I87" s="51">
        <f>IF($D87="","",IF(COUNTIF('Item Master'!$A$4:$A$53,$D87)&gt;0,$D87,_xlfn.XLOOKUP($D87,'Item Master'!$B$4:$B$53,'Item Master'!$A$4:$A$53,"")))</f>
        <v/>
      </c>
      <c r="J87" s="51">
        <f>IF($I87="","",$C87&amp;"|"&amp;COUNTIFS($C$9:$C87,$C87,$I$9:$I87,"?*"))</f>
        <v/>
      </c>
      <c r="K87" s="52">
        <f>IF($I87="","",IF($F87="",1,$F87))</f>
        <v/>
      </c>
    </row>
    <row r="88" ht="32" customHeight="1">
      <c r="A88" s="46" t="n"/>
      <c r="B88" s="47" t="n"/>
      <c r="C88" s="48">
        <f>IF($D88="","",IF(OR($A88="x",ROW()=9),Settings!$C$14&amp;TEXT(1000+COUNTIF($A$9:$A88,"x")+IF($A$9&lt;&gt;"x",1,0),"0000"),$C87))</f>
        <v/>
      </c>
      <c r="D88" s="46" t="n"/>
      <c r="E88" s="31">
        <f>IF($D88="","",IF($I88="","⚠️ Unknown code",_xlfn.XLOOKUP($I88,'Item Master'!$A$4:$A$53,'Item Master'!$C$4:$C$53,"")))</f>
        <v/>
      </c>
      <c r="F88" s="49" t="n"/>
      <c r="G88" s="36">
        <f>IF($I88="","",_xlfn.XLOOKUP($I88,'Item Master'!$A$4:$A$53,'Item Master'!$F$4:$F$53,0))</f>
        <v/>
      </c>
      <c r="H88" s="50">
        <f>IF($I88="","",$K88*$G88)</f>
        <v/>
      </c>
      <c r="I88" s="51">
        <f>IF($D88="","",IF(COUNTIF('Item Master'!$A$4:$A$53,$D88)&gt;0,$D88,_xlfn.XLOOKUP($D88,'Item Master'!$B$4:$B$53,'Item Master'!$A$4:$A$53,"")))</f>
        <v/>
      </c>
      <c r="J88" s="51">
        <f>IF($I88="","",$C88&amp;"|"&amp;COUNTIFS($C$9:$C88,$C88,$I$9:$I88,"?*"))</f>
        <v/>
      </c>
      <c r="K88" s="52">
        <f>IF($I88="","",IF($F88="",1,$F88))</f>
        <v/>
      </c>
    </row>
    <row r="89" ht="32" customHeight="1">
      <c r="A89" s="46" t="n"/>
      <c r="B89" s="47" t="n"/>
      <c r="C89" s="48">
        <f>IF($D89="","",IF(OR($A89="x",ROW()=9),Settings!$C$14&amp;TEXT(1000+COUNTIF($A$9:$A89,"x")+IF($A$9&lt;&gt;"x",1,0),"0000"),$C88))</f>
        <v/>
      </c>
      <c r="D89" s="46" t="n"/>
      <c r="E89" s="31">
        <f>IF($D89="","",IF($I89="","⚠️ Unknown code",_xlfn.XLOOKUP($I89,'Item Master'!$A$4:$A$53,'Item Master'!$C$4:$C$53,"")))</f>
        <v/>
      </c>
      <c r="F89" s="49" t="n"/>
      <c r="G89" s="36">
        <f>IF($I89="","",_xlfn.XLOOKUP($I89,'Item Master'!$A$4:$A$53,'Item Master'!$F$4:$F$53,0))</f>
        <v/>
      </c>
      <c r="H89" s="50">
        <f>IF($I89="","",$K89*$G89)</f>
        <v/>
      </c>
      <c r="I89" s="51">
        <f>IF($D89="","",IF(COUNTIF('Item Master'!$A$4:$A$53,$D89)&gt;0,$D89,_xlfn.XLOOKUP($D89,'Item Master'!$B$4:$B$53,'Item Master'!$A$4:$A$53,"")))</f>
        <v/>
      </c>
      <c r="J89" s="51">
        <f>IF($I89="","",$C89&amp;"|"&amp;COUNTIFS($C$9:$C89,$C89,$I$9:$I89,"?*"))</f>
        <v/>
      </c>
      <c r="K89" s="52">
        <f>IF($I89="","",IF($F89="",1,$F89))</f>
        <v/>
      </c>
    </row>
    <row r="90" ht="32" customHeight="1">
      <c r="A90" s="46" t="n"/>
      <c r="B90" s="47" t="n"/>
      <c r="C90" s="48">
        <f>IF($D90="","",IF(OR($A90="x",ROW()=9),Settings!$C$14&amp;TEXT(1000+COUNTIF($A$9:$A90,"x")+IF($A$9&lt;&gt;"x",1,0),"0000"),$C89))</f>
        <v/>
      </c>
      <c r="D90" s="46" t="n"/>
      <c r="E90" s="31">
        <f>IF($D90="","",IF($I90="","⚠️ Unknown code",_xlfn.XLOOKUP($I90,'Item Master'!$A$4:$A$53,'Item Master'!$C$4:$C$53,"")))</f>
        <v/>
      </c>
      <c r="F90" s="49" t="n"/>
      <c r="G90" s="36">
        <f>IF($I90="","",_xlfn.XLOOKUP($I90,'Item Master'!$A$4:$A$53,'Item Master'!$F$4:$F$53,0))</f>
        <v/>
      </c>
      <c r="H90" s="50">
        <f>IF($I90="","",$K90*$G90)</f>
        <v/>
      </c>
      <c r="I90" s="51">
        <f>IF($D90="","",IF(COUNTIF('Item Master'!$A$4:$A$53,$D90)&gt;0,$D90,_xlfn.XLOOKUP($D90,'Item Master'!$B$4:$B$53,'Item Master'!$A$4:$A$53,"")))</f>
        <v/>
      </c>
      <c r="J90" s="51">
        <f>IF($I90="","",$C90&amp;"|"&amp;COUNTIFS($C$9:$C90,$C90,$I$9:$I90,"?*"))</f>
        <v/>
      </c>
      <c r="K90" s="52">
        <f>IF($I90="","",IF($F90="",1,$F90))</f>
        <v/>
      </c>
    </row>
    <row r="91" ht="32" customHeight="1">
      <c r="A91" s="46" t="n"/>
      <c r="B91" s="47" t="n"/>
      <c r="C91" s="48">
        <f>IF($D91="","",IF(OR($A91="x",ROW()=9),Settings!$C$14&amp;TEXT(1000+COUNTIF($A$9:$A91,"x")+IF($A$9&lt;&gt;"x",1,0),"0000"),$C90))</f>
        <v/>
      </c>
      <c r="D91" s="46" t="n"/>
      <c r="E91" s="31">
        <f>IF($D91="","",IF($I91="","⚠️ Unknown code",_xlfn.XLOOKUP($I91,'Item Master'!$A$4:$A$53,'Item Master'!$C$4:$C$53,"")))</f>
        <v/>
      </c>
      <c r="F91" s="49" t="n"/>
      <c r="G91" s="36">
        <f>IF($I91="","",_xlfn.XLOOKUP($I91,'Item Master'!$A$4:$A$53,'Item Master'!$F$4:$F$53,0))</f>
        <v/>
      </c>
      <c r="H91" s="50">
        <f>IF($I91="","",$K91*$G91)</f>
        <v/>
      </c>
      <c r="I91" s="51">
        <f>IF($D91="","",IF(COUNTIF('Item Master'!$A$4:$A$53,$D91)&gt;0,$D91,_xlfn.XLOOKUP($D91,'Item Master'!$B$4:$B$53,'Item Master'!$A$4:$A$53,"")))</f>
        <v/>
      </c>
      <c r="J91" s="51">
        <f>IF($I91="","",$C91&amp;"|"&amp;COUNTIFS($C$9:$C91,$C91,$I$9:$I91,"?*"))</f>
        <v/>
      </c>
      <c r="K91" s="52">
        <f>IF($I91="","",IF($F91="",1,$F91))</f>
        <v/>
      </c>
    </row>
    <row r="92" ht="32" customHeight="1">
      <c r="A92" s="46" t="n"/>
      <c r="B92" s="47" t="n"/>
      <c r="C92" s="48">
        <f>IF($D92="","",IF(OR($A92="x",ROW()=9),Settings!$C$14&amp;TEXT(1000+COUNTIF($A$9:$A92,"x")+IF($A$9&lt;&gt;"x",1,0),"0000"),$C91))</f>
        <v/>
      </c>
      <c r="D92" s="46" t="n"/>
      <c r="E92" s="31">
        <f>IF($D92="","",IF($I92="","⚠️ Unknown code",_xlfn.XLOOKUP($I92,'Item Master'!$A$4:$A$53,'Item Master'!$C$4:$C$53,"")))</f>
        <v/>
      </c>
      <c r="F92" s="49" t="n"/>
      <c r="G92" s="36">
        <f>IF($I92="","",_xlfn.XLOOKUP($I92,'Item Master'!$A$4:$A$53,'Item Master'!$F$4:$F$53,0))</f>
        <v/>
      </c>
      <c r="H92" s="50">
        <f>IF($I92="","",$K92*$G92)</f>
        <v/>
      </c>
      <c r="I92" s="51">
        <f>IF($D92="","",IF(COUNTIF('Item Master'!$A$4:$A$53,$D92)&gt;0,$D92,_xlfn.XLOOKUP($D92,'Item Master'!$B$4:$B$53,'Item Master'!$A$4:$A$53,"")))</f>
        <v/>
      </c>
      <c r="J92" s="51">
        <f>IF($I92="","",$C92&amp;"|"&amp;COUNTIFS($C$9:$C92,$C92,$I$9:$I92,"?*"))</f>
        <v/>
      </c>
      <c r="K92" s="52">
        <f>IF($I92="","",IF($F92="",1,$F92))</f>
        <v/>
      </c>
    </row>
    <row r="93" ht="32" customHeight="1">
      <c r="A93" s="46" t="n"/>
      <c r="B93" s="47" t="n"/>
      <c r="C93" s="48">
        <f>IF($D93="","",IF(OR($A93="x",ROW()=9),Settings!$C$14&amp;TEXT(1000+COUNTIF($A$9:$A93,"x")+IF($A$9&lt;&gt;"x",1,0),"0000"),$C92))</f>
        <v/>
      </c>
      <c r="D93" s="46" t="n"/>
      <c r="E93" s="31">
        <f>IF($D93="","",IF($I93="","⚠️ Unknown code",_xlfn.XLOOKUP($I93,'Item Master'!$A$4:$A$53,'Item Master'!$C$4:$C$53,"")))</f>
        <v/>
      </c>
      <c r="F93" s="49" t="n"/>
      <c r="G93" s="36">
        <f>IF($I93="","",_xlfn.XLOOKUP($I93,'Item Master'!$A$4:$A$53,'Item Master'!$F$4:$F$53,0))</f>
        <v/>
      </c>
      <c r="H93" s="50">
        <f>IF($I93="","",$K93*$G93)</f>
        <v/>
      </c>
      <c r="I93" s="51">
        <f>IF($D93="","",IF(COUNTIF('Item Master'!$A$4:$A$53,$D93)&gt;0,$D93,_xlfn.XLOOKUP($D93,'Item Master'!$B$4:$B$53,'Item Master'!$A$4:$A$53,"")))</f>
        <v/>
      </c>
      <c r="J93" s="51">
        <f>IF($I93="","",$C93&amp;"|"&amp;COUNTIFS($C$9:$C93,$C93,$I$9:$I93,"?*"))</f>
        <v/>
      </c>
      <c r="K93" s="52">
        <f>IF($I93="","",IF($F93="",1,$F93))</f>
        <v/>
      </c>
    </row>
    <row r="94" ht="32" customHeight="1">
      <c r="A94" s="46" t="n"/>
      <c r="B94" s="47" t="n"/>
      <c r="C94" s="48">
        <f>IF($D94="","",IF(OR($A94="x",ROW()=9),Settings!$C$14&amp;TEXT(1000+COUNTIF($A$9:$A94,"x")+IF($A$9&lt;&gt;"x",1,0),"0000"),$C93))</f>
        <v/>
      </c>
      <c r="D94" s="46" t="n"/>
      <c r="E94" s="31">
        <f>IF($D94="","",IF($I94="","⚠️ Unknown code",_xlfn.XLOOKUP($I94,'Item Master'!$A$4:$A$53,'Item Master'!$C$4:$C$53,"")))</f>
        <v/>
      </c>
      <c r="F94" s="49" t="n"/>
      <c r="G94" s="36">
        <f>IF($I94="","",_xlfn.XLOOKUP($I94,'Item Master'!$A$4:$A$53,'Item Master'!$F$4:$F$53,0))</f>
        <v/>
      </c>
      <c r="H94" s="50">
        <f>IF($I94="","",$K94*$G94)</f>
        <v/>
      </c>
      <c r="I94" s="51">
        <f>IF($D94="","",IF(COUNTIF('Item Master'!$A$4:$A$53,$D94)&gt;0,$D94,_xlfn.XLOOKUP($D94,'Item Master'!$B$4:$B$53,'Item Master'!$A$4:$A$53,"")))</f>
        <v/>
      </c>
      <c r="J94" s="51">
        <f>IF($I94="","",$C94&amp;"|"&amp;COUNTIFS($C$9:$C94,$C94,$I$9:$I94,"?*"))</f>
        <v/>
      </c>
      <c r="K94" s="52">
        <f>IF($I94="","",IF($F94="",1,$F94))</f>
        <v/>
      </c>
    </row>
    <row r="95" ht="32" customHeight="1">
      <c r="A95" s="46" t="n"/>
      <c r="B95" s="47" t="n"/>
      <c r="C95" s="48">
        <f>IF($D95="","",IF(OR($A95="x",ROW()=9),Settings!$C$14&amp;TEXT(1000+COUNTIF($A$9:$A95,"x")+IF($A$9&lt;&gt;"x",1,0),"0000"),$C94))</f>
        <v/>
      </c>
      <c r="D95" s="46" t="n"/>
      <c r="E95" s="31">
        <f>IF($D95="","",IF($I95="","⚠️ Unknown code",_xlfn.XLOOKUP($I95,'Item Master'!$A$4:$A$53,'Item Master'!$C$4:$C$53,"")))</f>
        <v/>
      </c>
      <c r="F95" s="49" t="n"/>
      <c r="G95" s="36">
        <f>IF($I95="","",_xlfn.XLOOKUP($I95,'Item Master'!$A$4:$A$53,'Item Master'!$F$4:$F$53,0))</f>
        <v/>
      </c>
      <c r="H95" s="50">
        <f>IF($I95="","",$K95*$G95)</f>
        <v/>
      </c>
      <c r="I95" s="51">
        <f>IF($D95="","",IF(COUNTIF('Item Master'!$A$4:$A$53,$D95)&gt;0,$D95,_xlfn.XLOOKUP($D95,'Item Master'!$B$4:$B$53,'Item Master'!$A$4:$A$53,"")))</f>
        <v/>
      </c>
      <c r="J95" s="51">
        <f>IF($I95="","",$C95&amp;"|"&amp;COUNTIFS($C$9:$C95,$C95,$I$9:$I95,"?*"))</f>
        <v/>
      </c>
      <c r="K95" s="52">
        <f>IF($I95="","",IF($F95="",1,$F95))</f>
        <v/>
      </c>
    </row>
    <row r="96" ht="32" customHeight="1">
      <c r="A96" s="46" t="n"/>
      <c r="B96" s="47" t="n"/>
      <c r="C96" s="48">
        <f>IF($D96="","",IF(OR($A96="x",ROW()=9),Settings!$C$14&amp;TEXT(1000+COUNTIF($A$9:$A96,"x")+IF($A$9&lt;&gt;"x",1,0),"0000"),$C95))</f>
        <v/>
      </c>
      <c r="D96" s="46" t="n"/>
      <c r="E96" s="31">
        <f>IF($D96="","",IF($I96="","⚠️ Unknown code",_xlfn.XLOOKUP($I96,'Item Master'!$A$4:$A$53,'Item Master'!$C$4:$C$53,"")))</f>
        <v/>
      </c>
      <c r="F96" s="49" t="n"/>
      <c r="G96" s="36">
        <f>IF($I96="","",_xlfn.XLOOKUP($I96,'Item Master'!$A$4:$A$53,'Item Master'!$F$4:$F$53,0))</f>
        <v/>
      </c>
      <c r="H96" s="50">
        <f>IF($I96="","",$K96*$G96)</f>
        <v/>
      </c>
      <c r="I96" s="51">
        <f>IF($D96="","",IF(COUNTIF('Item Master'!$A$4:$A$53,$D96)&gt;0,$D96,_xlfn.XLOOKUP($D96,'Item Master'!$B$4:$B$53,'Item Master'!$A$4:$A$53,"")))</f>
        <v/>
      </c>
      <c r="J96" s="51">
        <f>IF($I96="","",$C96&amp;"|"&amp;COUNTIFS($C$9:$C96,$C96,$I$9:$I96,"?*"))</f>
        <v/>
      </c>
      <c r="K96" s="52">
        <f>IF($I96="","",IF($F96="",1,$F96))</f>
        <v/>
      </c>
    </row>
    <row r="97" ht="32" customHeight="1">
      <c r="A97" s="46" t="n"/>
      <c r="B97" s="47" t="n"/>
      <c r="C97" s="48">
        <f>IF($D97="","",IF(OR($A97="x",ROW()=9),Settings!$C$14&amp;TEXT(1000+COUNTIF($A$9:$A97,"x")+IF($A$9&lt;&gt;"x",1,0),"0000"),$C96))</f>
        <v/>
      </c>
      <c r="D97" s="46" t="n"/>
      <c r="E97" s="31">
        <f>IF($D97="","",IF($I97="","⚠️ Unknown code",_xlfn.XLOOKUP($I97,'Item Master'!$A$4:$A$53,'Item Master'!$C$4:$C$53,"")))</f>
        <v/>
      </c>
      <c r="F97" s="49" t="n"/>
      <c r="G97" s="36">
        <f>IF($I97="","",_xlfn.XLOOKUP($I97,'Item Master'!$A$4:$A$53,'Item Master'!$F$4:$F$53,0))</f>
        <v/>
      </c>
      <c r="H97" s="50">
        <f>IF($I97="","",$K97*$G97)</f>
        <v/>
      </c>
      <c r="I97" s="51">
        <f>IF($D97="","",IF(COUNTIF('Item Master'!$A$4:$A$53,$D97)&gt;0,$D97,_xlfn.XLOOKUP($D97,'Item Master'!$B$4:$B$53,'Item Master'!$A$4:$A$53,"")))</f>
        <v/>
      </c>
      <c r="J97" s="51">
        <f>IF($I97="","",$C97&amp;"|"&amp;COUNTIFS($C$9:$C97,$C97,$I$9:$I97,"?*"))</f>
        <v/>
      </c>
      <c r="K97" s="52">
        <f>IF($I97="","",IF($F97="",1,$F97))</f>
        <v/>
      </c>
    </row>
    <row r="98" ht="32" customHeight="1">
      <c r="A98" s="46" t="n"/>
      <c r="B98" s="47" t="n"/>
      <c r="C98" s="48">
        <f>IF($D98="","",IF(OR($A98="x",ROW()=9),Settings!$C$14&amp;TEXT(1000+COUNTIF($A$9:$A98,"x")+IF($A$9&lt;&gt;"x",1,0),"0000"),$C97))</f>
        <v/>
      </c>
      <c r="D98" s="46" t="n"/>
      <c r="E98" s="31">
        <f>IF($D98="","",IF($I98="","⚠️ Unknown code",_xlfn.XLOOKUP($I98,'Item Master'!$A$4:$A$53,'Item Master'!$C$4:$C$53,"")))</f>
        <v/>
      </c>
      <c r="F98" s="49" t="n"/>
      <c r="G98" s="36">
        <f>IF($I98="","",_xlfn.XLOOKUP($I98,'Item Master'!$A$4:$A$53,'Item Master'!$F$4:$F$53,0))</f>
        <v/>
      </c>
      <c r="H98" s="50">
        <f>IF($I98="","",$K98*$G98)</f>
        <v/>
      </c>
      <c r="I98" s="51">
        <f>IF($D98="","",IF(COUNTIF('Item Master'!$A$4:$A$53,$D98)&gt;0,$D98,_xlfn.XLOOKUP($D98,'Item Master'!$B$4:$B$53,'Item Master'!$A$4:$A$53,"")))</f>
        <v/>
      </c>
      <c r="J98" s="51">
        <f>IF($I98="","",$C98&amp;"|"&amp;COUNTIFS($C$9:$C98,$C98,$I$9:$I98,"?*"))</f>
        <v/>
      </c>
      <c r="K98" s="52">
        <f>IF($I98="","",IF($F98="",1,$F98))</f>
        <v/>
      </c>
    </row>
    <row r="99" ht="32" customHeight="1">
      <c r="A99" s="46" t="n"/>
      <c r="B99" s="47" t="n"/>
      <c r="C99" s="48">
        <f>IF($D99="","",IF(OR($A99="x",ROW()=9),Settings!$C$14&amp;TEXT(1000+COUNTIF($A$9:$A99,"x")+IF($A$9&lt;&gt;"x",1,0),"0000"),$C98))</f>
        <v/>
      </c>
      <c r="D99" s="46" t="n"/>
      <c r="E99" s="31">
        <f>IF($D99="","",IF($I99="","⚠️ Unknown code",_xlfn.XLOOKUP($I99,'Item Master'!$A$4:$A$53,'Item Master'!$C$4:$C$53,"")))</f>
        <v/>
      </c>
      <c r="F99" s="49" t="n"/>
      <c r="G99" s="36">
        <f>IF($I99="","",_xlfn.XLOOKUP($I99,'Item Master'!$A$4:$A$53,'Item Master'!$F$4:$F$53,0))</f>
        <v/>
      </c>
      <c r="H99" s="50">
        <f>IF($I99="","",$K99*$G99)</f>
        <v/>
      </c>
      <c r="I99" s="51">
        <f>IF($D99="","",IF(COUNTIF('Item Master'!$A$4:$A$53,$D99)&gt;0,$D99,_xlfn.XLOOKUP($D99,'Item Master'!$B$4:$B$53,'Item Master'!$A$4:$A$53,"")))</f>
        <v/>
      </c>
      <c r="J99" s="51">
        <f>IF($I99="","",$C99&amp;"|"&amp;COUNTIFS($C$9:$C99,$C99,$I$9:$I99,"?*"))</f>
        <v/>
      </c>
      <c r="K99" s="52">
        <f>IF($I99="","",IF($F99="",1,$F99))</f>
        <v/>
      </c>
    </row>
    <row r="100" ht="32" customHeight="1">
      <c r="A100" s="46" t="n"/>
      <c r="B100" s="47" t="n"/>
      <c r="C100" s="48">
        <f>IF($D100="","",IF(OR($A100="x",ROW()=9),Settings!$C$14&amp;TEXT(1000+COUNTIF($A$9:$A100,"x")+IF($A$9&lt;&gt;"x",1,0),"0000"),$C99))</f>
        <v/>
      </c>
      <c r="D100" s="46" t="n"/>
      <c r="E100" s="31">
        <f>IF($D100="","",IF($I100="","⚠️ Unknown code",_xlfn.XLOOKUP($I100,'Item Master'!$A$4:$A$53,'Item Master'!$C$4:$C$53,"")))</f>
        <v/>
      </c>
      <c r="F100" s="49" t="n"/>
      <c r="G100" s="36">
        <f>IF($I100="","",_xlfn.XLOOKUP($I100,'Item Master'!$A$4:$A$53,'Item Master'!$F$4:$F$53,0))</f>
        <v/>
      </c>
      <c r="H100" s="50">
        <f>IF($I100="","",$K100*$G100)</f>
        <v/>
      </c>
      <c r="I100" s="51">
        <f>IF($D100="","",IF(COUNTIF('Item Master'!$A$4:$A$53,$D100)&gt;0,$D100,_xlfn.XLOOKUP($D100,'Item Master'!$B$4:$B$53,'Item Master'!$A$4:$A$53,"")))</f>
        <v/>
      </c>
      <c r="J100" s="51">
        <f>IF($I100="","",$C100&amp;"|"&amp;COUNTIFS($C$9:$C100,$C100,$I$9:$I100,"?*"))</f>
        <v/>
      </c>
      <c r="K100" s="52">
        <f>IF($I100="","",IF($F100="",1,$F100))</f>
        <v/>
      </c>
    </row>
    <row r="101" ht="32" customHeight="1">
      <c r="A101" s="46" t="n"/>
      <c r="B101" s="47" t="n"/>
      <c r="C101" s="48">
        <f>IF($D101="","",IF(OR($A101="x",ROW()=9),Settings!$C$14&amp;TEXT(1000+COUNTIF($A$9:$A101,"x")+IF($A$9&lt;&gt;"x",1,0),"0000"),$C100))</f>
        <v/>
      </c>
      <c r="D101" s="46" t="n"/>
      <c r="E101" s="31">
        <f>IF($D101="","",IF($I101="","⚠️ Unknown code",_xlfn.XLOOKUP($I101,'Item Master'!$A$4:$A$53,'Item Master'!$C$4:$C$53,"")))</f>
        <v/>
      </c>
      <c r="F101" s="49" t="n"/>
      <c r="G101" s="36">
        <f>IF($I101="","",_xlfn.XLOOKUP($I101,'Item Master'!$A$4:$A$53,'Item Master'!$F$4:$F$53,0))</f>
        <v/>
      </c>
      <c r="H101" s="50">
        <f>IF($I101="","",$K101*$G101)</f>
        <v/>
      </c>
      <c r="I101" s="51">
        <f>IF($D101="","",IF(COUNTIF('Item Master'!$A$4:$A$53,$D101)&gt;0,$D101,_xlfn.XLOOKUP($D101,'Item Master'!$B$4:$B$53,'Item Master'!$A$4:$A$53,"")))</f>
        <v/>
      </c>
      <c r="J101" s="51">
        <f>IF($I101="","",$C101&amp;"|"&amp;COUNTIFS($C$9:$C101,$C101,$I$9:$I101,"?*"))</f>
        <v/>
      </c>
      <c r="K101" s="52">
        <f>IF($I101="","",IF($F101="",1,$F101))</f>
        <v/>
      </c>
    </row>
    <row r="102" ht="32" customHeight="1">
      <c r="A102" s="46" t="n"/>
      <c r="B102" s="47" t="n"/>
      <c r="C102" s="48">
        <f>IF($D102="","",IF(OR($A102="x",ROW()=9),Settings!$C$14&amp;TEXT(1000+COUNTIF($A$9:$A102,"x")+IF($A$9&lt;&gt;"x",1,0),"0000"),$C101))</f>
        <v/>
      </c>
      <c r="D102" s="46" t="n"/>
      <c r="E102" s="31">
        <f>IF($D102="","",IF($I102="","⚠️ Unknown code",_xlfn.XLOOKUP($I102,'Item Master'!$A$4:$A$53,'Item Master'!$C$4:$C$53,"")))</f>
        <v/>
      </c>
      <c r="F102" s="49" t="n"/>
      <c r="G102" s="36">
        <f>IF($I102="","",_xlfn.XLOOKUP($I102,'Item Master'!$A$4:$A$53,'Item Master'!$F$4:$F$53,0))</f>
        <v/>
      </c>
      <c r="H102" s="50">
        <f>IF($I102="","",$K102*$G102)</f>
        <v/>
      </c>
      <c r="I102" s="51">
        <f>IF($D102="","",IF(COUNTIF('Item Master'!$A$4:$A$53,$D102)&gt;0,$D102,_xlfn.XLOOKUP($D102,'Item Master'!$B$4:$B$53,'Item Master'!$A$4:$A$53,"")))</f>
        <v/>
      </c>
      <c r="J102" s="51">
        <f>IF($I102="","",$C102&amp;"|"&amp;COUNTIFS($C$9:$C102,$C102,$I$9:$I102,"?*"))</f>
        <v/>
      </c>
      <c r="K102" s="52">
        <f>IF($I102="","",IF($F102="",1,$F102))</f>
        <v/>
      </c>
    </row>
    <row r="103" ht="32" customHeight="1">
      <c r="A103" s="46" t="n"/>
      <c r="B103" s="47" t="n"/>
      <c r="C103" s="48">
        <f>IF($D103="","",IF(OR($A103="x",ROW()=9),Settings!$C$14&amp;TEXT(1000+COUNTIF($A$9:$A103,"x")+IF($A$9&lt;&gt;"x",1,0),"0000"),$C102))</f>
        <v/>
      </c>
      <c r="D103" s="46" t="n"/>
      <c r="E103" s="31">
        <f>IF($D103="","",IF($I103="","⚠️ Unknown code",_xlfn.XLOOKUP($I103,'Item Master'!$A$4:$A$53,'Item Master'!$C$4:$C$53,"")))</f>
        <v/>
      </c>
      <c r="F103" s="49" t="n"/>
      <c r="G103" s="36">
        <f>IF($I103="","",_xlfn.XLOOKUP($I103,'Item Master'!$A$4:$A$53,'Item Master'!$F$4:$F$53,0))</f>
        <v/>
      </c>
      <c r="H103" s="50">
        <f>IF($I103="","",$K103*$G103)</f>
        <v/>
      </c>
      <c r="I103" s="51">
        <f>IF($D103="","",IF(COUNTIF('Item Master'!$A$4:$A$53,$D103)&gt;0,$D103,_xlfn.XLOOKUP($D103,'Item Master'!$B$4:$B$53,'Item Master'!$A$4:$A$53,"")))</f>
        <v/>
      </c>
      <c r="J103" s="51">
        <f>IF($I103="","",$C103&amp;"|"&amp;COUNTIFS($C$9:$C103,$C103,$I$9:$I103,"?*"))</f>
        <v/>
      </c>
      <c r="K103" s="52">
        <f>IF($I103="","",IF($F103="",1,$F103))</f>
        <v/>
      </c>
    </row>
    <row r="104" ht="32" customHeight="1">
      <c r="A104" s="46" t="n"/>
      <c r="B104" s="47" t="n"/>
      <c r="C104" s="48">
        <f>IF($D104="","",IF(OR($A104="x",ROW()=9),Settings!$C$14&amp;TEXT(1000+COUNTIF($A$9:$A104,"x")+IF($A$9&lt;&gt;"x",1,0),"0000"),$C103))</f>
        <v/>
      </c>
      <c r="D104" s="46" t="n"/>
      <c r="E104" s="31">
        <f>IF($D104="","",IF($I104="","⚠️ Unknown code",_xlfn.XLOOKUP($I104,'Item Master'!$A$4:$A$53,'Item Master'!$C$4:$C$53,"")))</f>
        <v/>
      </c>
      <c r="F104" s="49" t="n"/>
      <c r="G104" s="36">
        <f>IF($I104="","",_xlfn.XLOOKUP($I104,'Item Master'!$A$4:$A$53,'Item Master'!$F$4:$F$53,0))</f>
        <v/>
      </c>
      <c r="H104" s="50">
        <f>IF($I104="","",$K104*$G104)</f>
        <v/>
      </c>
      <c r="I104" s="51">
        <f>IF($D104="","",IF(COUNTIF('Item Master'!$A$4:$A$53,$D104)&gt;0,$D104,_xlfn.XLOOKUP($D104,'Item Master'!$B$4:$B$53,'Item Master'!$A$4:$A$53,"")))</f>
        <v/>
      </c>
      <c r="J104" s="51">
        <f>IF($I104="","",$C104&amp;"|"&amp;COUNTIFS($C$9:$C104,$C104,$I$9:$I104,"?*"))</f>
        <v/>
      </c>
      <c r="K104" s="52">
        <f>IF($I104="","",IF($F104="",1,$F104))</f>
        <v/>
      </c>
    </row>
    <row r="105" ht="32" customHeight="1">
      <c r="A105" s="46" t="n"/>
      <c r="B105" s="47" t="n"/>
      <c r="C105" s="48">
        <f>IF($D105="","",IF(OR($A105="x",ROW()=9),Settings!$C$14&amp;TEXT(1000+COUNTIF($A$9:$A105,"x")+IF($A$9&lt;&gt;"x",1,0),"0000"),$C104))</f>
        <v/>
      </c>
      <c r="D105" s="46" t="n"/>
      <c r="E105" s="31">
        <f>IF($D105="","",IF($I105="","⚠️ Unknown code",_xlfn.XLOOKUP($I105,'Item Master'!$A$4:$A$53,'Item Master'!$C$4:$C$53,"")))</f>
        <v/>
      </c>
      <c r="F105" s="49" t="n"/>
      <c r="G105" s="36">
        <f>IF($I105="","",_xlfn.XLOOKUP($I105,'Item Master'!$A$4:$A$53,'Item Master'!$F$4:$F$53,0))</f>
        <v/>
      </c>
      <c r="H105" s="50">
        <f>IF($I105="","",$K105*$G105)</f>
        <v/>
      </c>
      <c r="I105" s="51">
        <f>IF($D105="","",IF(COUNTIF('Item Master'!$A$4:$A$53,$D105)&gt;0,$D105,_xlfn.XLOOKUP($D105,'Item Master'!$B$4:$B$53,'Item Master'!$A$4:$A$53,"")))</f>
        <v/>
      </c>
      <c r="J105" s="51">
        <f>IF($I105="","",$C105&amp;"|"&amp;COUNTIFS($C$9:$C105,$C105,$I$9:$I105,"?*"))</f>
        <v/>
      </c>
      <c r="K105" s="52">
        <f>IF($I105="","",IF($F105="",1,$F105))</f>
        <v/>
      </c>
    </row>
    <row r="106" ht="32" customHeight="1">
      <c r="A106" s="46" t="n"/>
      <c r="B106" s="47" t="n"/>
      <c r="C106" s="48">
        <f>IF($D106="","",IF(OR($A106="x",ROW()=9),Settings!$C$14&amp;TEXT(1000+COUNTIF($A$9:$A106,"x")+IF($A$9&lt;&gt;"x",1,0),"0000"),$C105))</f>
        <v/>
      </c>
      <c r="D106" s="46" t="n"/>
      <c r="E106" s="31">
        <f>IF($D106="","",IF($I106="","⚠️ Unknown code",_xlfn.XLOOKUP($I106,'Item Master'!$A$4:$A$53,'Item Master'!$C$4:$C$53,"")))</f>
        <v/>
      </c>
      <c r="F106" s="49" t="n"/>
      <c r="G106" s="36">
        <f>IF($I106="","",_xlfn.XLOOKUP($I106,'Item Master'!$A$4:$A$53,'Item Master'!$F$4:$F$53,0))</f>
        <v/>
      </c>
      <c r="H106" s="50">
        <f>IF($I106="","",$K106*$G106)</f>
        <v/>
      </c>
      <c r="I106" s="51">
        <f>IF($D106="","",IF(COUNTIF('Item Master'!$A$4:$A$53,$D106)&gt;0,$D106,_xlfn.XLOOKUP($D106,'Item Master'!$B$4:$B$53,'Item Master'!$A$4:$A$53,"")))</f>
        <v/>
      </c>
      <c r="J106" s="51">
        <f>IF($I106="","",$C106&amp;"|"&amp;COUNTIFS($C$9:$C106,$C106,$I$9:$I106,"?*"))</f>
        <v/>
      </c>
      <c r="K106" s="52">
        <f>IF($I106="","",IF($F106="",1,$F106))</f>
        <v/>
      </c>
    </row>
    <row r="107" ht="32" customHeight="1">
      <c r="A107" s="46" t="n"/>
      <c r="B107" s="47" t="n"/>
      <c r="C107" s="48">
        <f>IF($D107="","",IF(OR($A107="x",ROW()=9),Settings!$C$14&amp;TEXT(1000+COUNTIF($A$9:$A107,"x")+IF($A$9&lt;&gt;"x",1,0),"0000"),$C106))</f>
        <v/>
      </c>
      <c r="D107" s="46" t="n"/>
      <c r="E107" s="31">
        <f>IF($D107="","",IF($I107="","⚠️ Unknown code",_xlfn.XLOOKUP($I107,'Item Master'!$A$4:$A$53,'Item Master'!$C$4:$C$53,"")))</f>
        <v/>
      </c>
      <c r="F107" s="49" t="n"/>
      <c r="G107" s="36">
        <f>IF($I107="","",_xlfn.XLOOKUP($I107,'Item Master'!$A$4:$A$53,'Item Master'!$F$4:$F$53,0))</f>
        <v/>
      </c>
      <c r="H107" s="50">
        <f>IF($I107="","",$K107*$G107)</f>
        <v/>
      </c>
      <c r="I107" s="51">
        <f>IF($D107="","",IF(COUNTIF('Item Master'!$A$4:$A$53,$D107)&gt;0,$D107,_xlfn.XLOOKUP($D107,'Item Master'!$B$4:$B$53,'Item Master'!$A$4:$A$53,"")))</f>
        <v/>
      </c>
      <c r="J107" s="51">
        <f>IF($I107="","",$C107&amp;"|"&amp;COUNTIFS($C$9:$C107,$C107,$I$9:$I107,"?*"))</f>
        <v/>
      </c>
      <c r="K107" s="52">
        <f>IF($I107="","",IF($F107="",1,$F107))</f>
        <v/>
      </c>
    </row>
    <row r="108" ht="32" customHeight="1">
      <c r="A108" s="46" t="n"/>
      <c r="B108" s="47" t="n"/>
      <c r="C108" s="48">
        <f>IF($D108="","",IF(OR($A108="x",ROW()=9),Settings!$C$14&amp;TEXT(1000+COUNTIF($A$9:$A108,"x")+IF($A$9&lt;&gt;"x",1,0),"0000"),$C107))</f>
        <v/>
      </c>
      <c r="D108" s="46" t="n"/>
      <c r="E108" s="31">
        <f>IF($D108="","",IF($I108="","⚠️ Unknown code",_xlfn.XLOOKUP($I108,'Item Master'!$A$4:$A$53,'Item Master'!$C$4:$C$53,"")))</f>
        <v/>
      </c>
      <c r="F108" s="49" t="n"/>
      <c r="G108" s="36">
        <f>IF($I108="","",_xlfn.XLOOKUP($I108,'Item Master'!$A$4:$A$53,'Item Master'!$F$4:$F$53,0))</f>
        <v/>
      </c>
      <c r="H108" s="50">
        <f>IF($I108="","",$K108*$G108)</f>
        <v/>
      </c>
      <c r="I108" s="51">
        <f>IF($D108="","",IF(COUNTIF('Item Master'!$A$4:$A$53,$D108)&gt;0,$D108,_xlfn.XLOOKUP($D108,'Item Master'!$B$4:$B$53,'Item Master'!$A$4:$A$53,"")))</f>
        <v/>
      </c>
      <c r="J108" s="51">
        <f>IF($I108="","",$C108&amp;"|"&amp;COUNTIFS($C$9:$C108,$C108,$I$9:$I108,"?*"))</f>
        <v/>
      </c>
      <c r="K108" s="52">
        <f>IF($I108="","",IF($F108="",1,$F108))</f>
        <v/>
      </c>
    </row>
    <row r="109" ht="32" customHeight="1">
      <c r="A109" s="46" t="n"/>
      <c r="B109" s="47" t="n"/>
      <c r="C109" s="48">
        <f>IF($D109="","",IF(OR($A109="x",ROW()=9),Settings!$C$14&amp;TEXT(1000+COUNTIF($A$9:$A109,"x")+IF($A$9&lt;&gt;"x",1,0),"0000"),$C108))</f>
        <v/>
      </c>
      <c r="D109" s="46" t="n"/>
      <c r="E109" s="31">
        <f>IF($D109="","",IF($I109="","⚠️ Unknown code",_xlfn.XLOOKUP($I109,'Item Master'!$A$4:$A$53,'Item Master'!$C$4:$C$53,"")))</f>
        <v/>
      </c>
      <c r="F109" s="49" t="n"/>
      <c r="G109" s="36">
        <f>IF($I109="","",_xlfn.XLOOKUP($I109,'Item Master'!$A$4:$A$53,'Item Master'!$F$4:$F$53,0))</f>
        <v/>
      </c>
      <c r="H109" s="50">
        <f>IF($I109="","",$K109*$G109)</f>
        <v/>
      </c>
      <c r="I109" s="51">
        <f>IF($D109="","",IF(COUNTIF('Item Master'!$A$4:$A$53,$D109)&gt;0,$D109,_xlfn.XLOOKUP($D109,'Item Master'!$B$4:$B$53,'Item Master'!$A$4:$A$53,"")))</f>
        <v/>
      </c>
      <c r="J109" s="51">
        <f>IF($I109="","",$C109&amp;"|"&amp;COUNTIFS($C$9:$C109,$C109,$I$9:$I109,"?*"))</f>
        <v/>
      </c>
      <c r="K109" s="52">
        <f>IF($I109="","",IF($F109="",1,$F109))</f>
        <v/>
      </c>
    </row>
    <row r="110" ht="32" customHeight="1">
      <c r="A110" s="46" t="n"/>
      <c r="B110" s="47" t="n"/>
      <c r="C110" s="48">
        <f>IF($D110="","",IF(OR($A110="x",ROW()=9),Settings!$C$14&amp;TEXT(1000+COUNTIF($A$9:$A110,"x")+IF($A$9&lt;&gt;"x",1,0),"0000"),$C109))</f>
        <v/>
      </c>
      <c r="D110" s="46" t="n"/>
      <c r="E110" s="31">
        <f>IF($D110="","",IF($I110="","⚠️ Unknown code",_xlfn.XLOOKUP($I110,'Item Master'!$A$4:$A$53,'Item Master'!$C$4:$C$53,"")))</f>
        <v/>
      </c>
      <c r="F110" s="49" t="n"/>
      <c r="G110" s="36">
        <f>IF($I110="","",_xlfn.XLOOKUP($I110,'Item Master'!$A$4:$A$53,'Item Master'!$F$4:$F$53,0))</f>
        <v/>
      </c>
      <c r="H110" s="50">
        <f>IF($I110="","",$K110*$G110)</f>
        <v/>
      </c>
      <c r="I110" s="51">
        <f>IF($D110="","",IF(COUNTIF('Item Master'!$A$4:$A$53,$D110)&gt;0,$D110,_xlfn.XLOOKUP($D110,'Item Master'!$B$4:$B$53,'Item Master'!$A$4:$A$53,"")))</f>
        <v/>
      </c>
      <c r="J110" s="51">
        <f>IF($I110="","",$C110&amp;"|"&amp;COUNTIFS($C$9:$C110,$C110,$I$9:$I110,"?*"))</f>
        <v/>
      </c>
      <c r="K110" s="52">
        <f>IF($I110="","",IF($F110="",1,$F110))</f>
        <v/>
      </c>
    </row>
    <row r="111" ht="32" customHeight="1">
      <c r="A111" s="46" t="n"/>
      <c r="B111" s="47" t="n"/>
      <c r="C111" s="48">
        <f>IF($D111="","",IF(OR($A111="x",ROW()=9),Settings!$C$14&amp;TEXT(1000+COUNTIF($A$9:$A111,"x")+IF($A$9&lt;&gt;"x",1,0),"0000"),$C110))</f>
        <v/>
      </c>
      <c r="D111" s="46" t="n"/>
      <c r="E111" s="31">
        <f>IF($D111="","",IF($I111="","⚠️ Unknown code",_xlfn.XLOOKUP($I111,'Item Master'!$A$4:$A$53,'Item Master'!$C$4:$C$53,"")))</f>
        <v/>
      </c>
      <c r="F111" s="49" t="n"/>
      <c r="G111" s="36">
        <f>IF($I111="","",_xlfn.XLOOKUP($I111,'Item Master'!$A$4:$A$53,'Item Master'!$F$4:$F$53,0))</f>
        <v/>
      </c>
      <c r="H111" s="50">
        <f>IF($I111="","",$K111*$G111)</f>
        <v/>
      </c>
      <c r="I111" s="51">
        <f>IF($D111="","",IF(COUNTIF('Item Master'!$A$4:$A$53,$D111)&gt;0,$D111,_xlfn.XLOOKUP($D111,'Item Master'!$B$4:$B$53,'Item Master'!$A$4:$A$53,"")))</f>
        <v/>
      </c>
      <c r="J111" s="51">
        <f>IF($I111="","",$C111&amp;"|"&amp;COUNTIFS($C$9:$C111,$C111,$I$9:$I111,"?*"))</f>
        <v/>
      </c>
      <c r="K111" s="52">
        <f>IF($I111="","",IF($F111="",1,$F111))</f>
        <v/>
      </c>
    </row>
    <row r="112" ht="32" customHeight="1">
      <c r="A112" s="46" t="n"/>
      <c r="B112" s="47" t="n"/>
      <c r="C112" s="48">
        <f>IF($D112="","",IF(OR($A112="x",ROW()=9),Settings!$C$14&amp;TEXT(1000+COUNTIF($A$9:$A112,"x")+IF($A$9&lt;&gt;"x",1,0),"0000"),$C111))</f>
        <v/>
      </c>
      <c r="D112" s="46" t="n"/>
      <c r="E112" s="31">
        <f>IF($D112="","",IF($I112="","⚠️ Unknown code",_xlfn.XLOOKUP($I112,'Item Master'!$A$4:$A$53,'Item Master'!$C$4:$C$53,"")))</f>
        <v/>
      </c>
      <c r="F112" s="49" t="n"/>
      <c r="G112" s="36">
        <f>IF($I112="","",_xlfn.XLOOKUP($I112,'Item Master'!$A$4:$A$53,'Item Master'!$F$4:$F$53,0))</f>
        <v/>
      </c>
      <c r="H112" s="50">
        <f>IF($I112="","",$K112*$G112)</f>
        <v/>
      </c>
      <c r="I112" s="51">
        <f>IF($D112="","",IF(COUNTIF('Item Master'!$A$4:$A$53,$D112)&gt;0,$D112,_xlfn.XLOOKUP($D112,'Item Master'!$B$4:$B$53,'Item Master'!$A$4:$A$53,"")))</f>
        <v/>
      </c>
      <c r="J112" s="51">
        <f>IF($I112="","",$C112&amp;"|"&amp;COUNTIFS($C$9:$C112,$C112,$I$9:$I112,"?*"))</f>
        <v/>
      </c>
      <c r="K112" s="52">
        <f>IF($I112="","",IF($F112="",1,$F112))</f>
        <v/>
      </c>
    </row>
    <row r="113" ht="32" customHeight="1">
      <c r="A113" s="46" t="n"/>
      <c r="B113" s="47" t="n"/>
      <c r="C113" s="48">
        <f>IF($D113="","",IF(OR($A113="x",ROW()=9),Settings!$C$14&amp;TEXT(1000+COUNTIF($A$9:$A113,"x")+IF($A$9&lt;&gt;"x",1,0),"0000"),$C112))</f>
        <v/>
      </c>
      <c r="D113" s="46" t="n"/>
      <c r="E113" s="31">
        <f>IF($D113="","",IF($I113="","⚠️ Unknown code",_xlfn.XLOOKUP($I113,'Item Master'!$A$4:$A$53,'Item Master'!$C$4:$C$53,"")))</f>
        <v/>
      </c>
      <c r="F113" s="49" t="n"/>
      <c r="G113" s="36">
        <f>IF($I113="","",_xlfn.XLOOKUP($I113,'Item Master'!$A$4:$A$53,'Item Master'!$F$4:$F$53,0))</f>
        <v/>
      </c>
      <c r="H113" s="50">
        <f>IF($I113="","",$K113*$G113)</f>
        <v/>
      </c>
      <c r="I113" s="51">
        <f>IF($D113="","",IF(COUNTIF('Item Master'!$A$4:$A$53,$D113)&gt;0,$D113,_xlfn.XLOOKUP($D113,'Item Master'!$B$4:$B$53,'Item Master'!$A$4:$A$53,"")))</f>
        <v/>
      </c>
      <c r="J113" s="51">
        <f>IF($I113="","",$C113&amp;"|"&amp;COUNTIFS($C$9:$C113,$C113,$I$9:$I113,"?*"))</f>
        <v/>
      </c>
      <c r="K113" s="52">
        <f>IF($I113="","",IF($F113="",1,$F113))</f>
        <v/>
      </c>
    </row>
    <row r="114" ht="32" customHeight="1">
      <c r="A114" s="46" t="n"/>
      <c r="B114" s="47" t="n"/>
      <c r="C114" s="48">
        <f>IF($D114="","",IF(OR($A114="x",ROW()=9),Settings!$C$14&amp;TEXT(1000+COUNTIF($A$9:$A114,"x")+IF($A$9&lt;&gt;"x",1,0),"0000"),$C113))</f>
        <v/>
      </c>
      <c r="D114" s="46" t="n"/>
      <c r="E114" s="31">
        <f>IF($D114="","",IF($I114="","⚠️ Unknown code",_xlfn.XLOOKUP($I114,'Item Master'!$A$4:$A$53,'Item Master'!$C$4:$C$53,"")))</f>
        <v/>
      </c>
      <c r="F114" s="49" t="n"/>
      <c r="G114" s="36">
        <f>IF($I114="","",_xlfn.XLOOKUP($I114,'Item Master'!$A$4:$A$53,'Item Master'!$F$4:$F$53,0))</f>
        <v/>
      </c>
      <c r="H114" s="50">
        <f>IF($I114="","",$K114*$G114)</f>
        <v/>
      </c>
      <c r="I114" s="51">
        <f>IF($D114="","",IF(COUNTIF('Item Master'!$A$4:$A$53,$D114)&gt;0,$D114,_xlfn.XLOOKUP($D114,'Item Master'!$B$4:$B$53,'Item Master'!$A$4:$A$53,"")))</f>
        <v/>
      </c>
      <c r="J114" s="51">
        <f>IF($I114="","",$C114&amp;"|"&amp;COUNTIFS($C$9:$C114,$C114,$I$9:$I114,"?*"))</f>
        <v/>
      </c>
      <c r="K114" s="52">
        <f>IF($I114="","",IF($F114="",1,$F114))</f>
        <v/>
      </c>
    </row>
    <row r="115" ht="32" customHeight="1">
      <c r="A115" s="46" t="n"/>
      <c r="B115" s="47" t="n"/>
      <c r="C115" s="48">
        <f>IF($D115="","",IF(OR($A115="x",ROW()=9),Settings!$C$14&amp;TEXT(1000+COUNTIF($A$9:$A115,"x")+IF($A$9&lt;&gt;"x",1,0),"0000"),$C114))</f>
        <v/>
      </c>
      <c r="D115" s="46" t="n"/>
      <c r="E115" s="31">
        <f>IF($D115="","",IF($I115="","⚠️ Unknown code",_xlfn.XLOOKUP($I115,'Item Master'!$A$4:$A$53,'Item Master'!$C$4:$C$53,"")))</f>
        <v/>
      </c>
      <c r="F115" s="49" t="n"/>
      <c r="G115" s="36">
        <f>IF($I115="","",_xlfn.XLOOKUP($I115,'Item Master'!$A$4:$A$53,'Item Master'!$F$4:$F$53,0))</f>
        <v/>
      </c>
      <c r="H115" s="50">
        <f>IF($I115="","",$K115*$G115)</f>
        <v/>
      </c>
      <c r="I115" s="51">
        <f>IF($D115="","",IF(COUNTIF('Item Master'!$A$4:$A$53,$D115)&gt;0,$D115,_xlfn.XLOOKUP($D115,'Item Master'!$B$4:$B$53,'Item Master'!$A$4:$A$53,"")))</f>
        <v/>
      </c>
      <c r="J115" s="51">
        <f>IF($I115="","",$C115&amp;"|"&amp;COUNTIFS($C$9:$C115,$C115,$I$9:$I115,"?*"))</f>
        <v/>
      </c>
      <c r="K115" s="52">
        <f>IF($I115="","",IF($F115="",1,$F115))</f>
        <v/>
      </c>
    </row>
    <row r="116" ht="32" customHeight="1">
      <c r="A116" s="46" t="n"/>
      <c r="B116" s="47" t="n"/>
      <c r="C116" s="48">
        <f>IF($D116="","",IF(OR($A116="x",ROW()=9),Settings!$C$14&amp;TEXT(1000+COUNTIF($A$9:$A116,"x")+IF($A$9&lt;&gt;"x",1,0),"0000"),$C115))</f>
        <v/>
      </c>
      <c r="D116" s="46" t="n"/>
      <c r="E116" s="31">
        <f>IF($D116="","",IF($I116="","⚠️ Unknown code",_xlfn.XLOOKUP($I116,'Item Master'!$A$4:$A$53,'Item Master'!$C$4:$C$53,"")))</f>
        <v/>
      </c>
      <c r="F116" s="49" t="n"/>
      <c r="G116" s="36">
        <f>IF($I116="","",_xlfn.XLOOKUP($I116,'Item Master'!$A$4:$A$53,'Item Master'!$F$4:$F$53,0))</f>
        <v/>
      </c>
      <c r="H116" s="50">
        <f>IF($I116="","",$K116*$G116)</f>
        <v/>
      </c>
      <c r="I116" s="51">
        <f>IF($D116="","",IF(COUNTIF('Item Master'!$A$4:$A$53,$D116)&gt;0,$D116,_xlfn.XLOOKUP($D116,'Item Master'!$B$4:$B$53,'Item Master'!$A$4:$A$53,"")))</f>
        <v/>
      </c>
      <c r="J116" s="51">
        <f>IF($I116="","",$C116&amp;"|"&amp;COUNTIFS($C$9:$C116,$C116,$I$9:$I116,"?*"))</f>
        <v/>
      </c>
      <c r="K116" s="52">
        <f>IF($I116="","",IF($F116="",1,$F116))</f>
        <v/>
      </c>
    </row>
    <row r="117" ht="32" customHeight="1">
      <c r="A117" s="46" t="n"/>
      <c r="B117" s="47" t="n"/>
      <c r="C117" s="48">
        <f>IF($D117="","",IF(OR($A117="x",ROW()=9),Settings!$C$14&amp;TEXT(1000+COUNTIF($A$9:$A117,"x")+IF($A$9&lt;&gt;"x",1,0),"0000"),$C116))</f>
        <v/>
      </c>
      <c r="D117" s="46" t="n"/>
      <c r="E117" s="31">
        <f>IF($D117="","",IF($I117="","⚠️ Unknown code",_xlfn.XLOOKUP($I117,'Item Master'!$A$4:$A$53,'Item Master'!$C$4:$C$53,"")))</f>
        <v/>
      </c>
      <c r="F117" s="49" t="n"/>
      <c r="G117" s="36">
        <f>IF($I117="","",_xlfn.XLOOKUP($I117,'Item Master'!$A$4:$A$53,'Item Master'!$F$4:$F$53,0))</f>
        <v/>
      </c>
      <c r="H117" s="50">
        <f>IF($I117="","",$K117*$G117)</f>
        <v/>
      </c>
      <c r="I117" s="51">
        <f>IF($D117="","",IF(COUNTIF('Item Master'!$A$4:$A$53,$D117)&gt;0,$D117,_xlfn.XLOOKUP($D117,'Item Master'!$B$4:$B$53,'Item Master'!$A$4:$A$53,"")))</f>
        <v/>
      </c>
      <c r="J117" s="51">
        <f>IF($I117="","",$C117&amp;"|"&amp;COUNTIFS($C$9:$C117,$C117,$I$9:$I117,"?*"))</f>
        <v/>
      </c>
      <c r="K117" s="52">
        <f>IF($I117="","",IF($F117="",1,$F117))</f>
        <v/>
      </c>
    </row>
    <row r="118" ht="32" customHeight="1">
      <c r="A118" s="46" t="n"/>
      <c r="B118" s="47" t="n"/>
      <c r="C118" s="48">
        <f>IF($D118="","",IF(OR($A118="x",ROW()=9),Settings!$C$14&amp;TEXT(1000+COUNTIF($A$9:$A118,"x")+IF($A$9&lt;&gt;"x",1,0),"0000"),$C117))</f>
        <v/>
      </c>
      <c r="D118" s="46" t="n"/>
      <c r="E118" s="31">
        <f>IF($D118="","",IF($I118="","⚠️ Unknown code",_xlfn.XLOOKUP($I118,'Item Master'!$A$4:$A$53,'Item Master'!$C$4:$C$53,"")))</f>
        <v/>
      </c>
      <c r="F118" s="49" t="n"/>
      <c r="G118" s="36">
        <f>IF($I118="","",_xlfn.XLOOKUP($I118,'Item Master'!$A$4:$A$53,'Item Master'!$F$4:$F$53,0))</f>
        <v/>
      </c>
      <c r="H118" s="50">
        <f>IF($I118="","",$K118*$G118)</f>
        <v/>
      </c>
      <c r="I118" s="51">
        <f>IF($D118="","",IF(COUNTIF('Item Master'!$A$4:$A$53,$D118)&gt;0,$D118,_xlfn.XLOOKUP($D118,'Item Master'!$B$4:$B$53,'Item Master'!$A$4:$A$53,"")))</f>
        <v/>
      </c>
      <c r="J118" s="51">
        <f>IF($I118="","",$C118&amp;"|"&amp;COUNTIFS($C$9:$C118,$C118,$I$9:$I118,"?*"))</f>
        <v/>
      </c>
      <c r="K118" s="52">
        <f>IF($I118="","",IF($F118="",1,$F118))</f>
        <v/>
      </c>
    </row>
    <row r="119" ht="32" customHeight="1">
      <c r="A119" s="46" t="n"/>
      <c r="B119" s="47" t="n"/>
      <c r="C119" s="48">
        <f>IF($D119="","",IF(OR($A119="x",ROW()=9),Settings!$C$14&amp;TEXT(1000+COUNTIF($A$9:$A119,"x")+IF($A$9&lt;&gt;"x",1,0),"0000"),$C118))</f>
        <v/>
      </c>
      <c r="D119" s="46" t="n"/>
      <c r="E119" s="31">
        <f>IF($D119="","",IF($I119="","⚠️ Unknown code",_xlfn.XLOOKUP($I119,'Item Master'!$A$4:$A$53,'Item Master'!$C$4:$C$53,"")))</f>
        <v/>
      </c>
      <c r="F119" s="49" t="n"/>
      <c r="G119" s="36">
        <f>IF($I119="","",_xlfn.XLOOKUP($I119,'Item Master'!$A$4:$A$53,'Item Master'!$F$4:$F$53,0))</f>
        <v/>
      </c>
      <c r="H119" s="50">
        <f>IF($I119="","",$K119*$G119)</f>
        <v/>
      </c>
      <c r="I119" s="51">
        <f>IF($D119="","",IF(COUNTIF('Item Master'!$A$4:$A$53,$D119)&gt;0,$D119,_xlfn.XLOOKUP($D119,'Item Master'!$B$4:$B$53,'Item Master'!$A$4:$A$53,"")))</f>
        <v/>
      </c>
      <c r="J119" s="51">
        <f>IF($I119="","",$C119&amp;"|"&amp;COUNTIFS($C$9:$C119,$C119,$I$9:$I119,"?*"))</f>
        <v/>
      </c>
      <c r="K119" s="52">
        <f>IF($I119="","",IF($F119="",1,$F119))</f>
        <v/>
      </c>
    </row>
    <row r="120" ht="32" customHeight="1">
      <c r="A120" s="46" t="n"/>
      <c r="B120" s="47" t="n"/>
      <c r="C120" s="48">
        <f>IF($D120="","",IF(OR($A120="x",ROW()=9),Settings!$C$14&amp;TEXT(1000+COUNTIF($A$9:$A120,"x")+IF($A$9&lt;&gt;"x",1,0),"0000"),$C119))</f>
        <v/>
      </c>
      <c r="D120" s="46" t="n"/>
      <c r="E120" s="31">
        <f>IF($D120="","",IF($I120="","⚠️ Unknown code",_xlfn.XLOOKUP($I120,'Item Master'!$A$4:$A$53,'Item Master'!$C$4:$C$53,"")))</f>
        <v/>
      </c>
      <c r="F120" s="49" t="n"/>
      <c r="G120" s="36">
        <f>IF($I120="","",_xlfn.XLOOKUP($I120,'Item Master'!$A$4:$A$53,'Item Master'!$F$4:$F$53,0))</f>
        <v/>
      </c>
      <c r="H120" s="50">
        <f>IF($I120="","",$K120*$G120)</f>
        <v/>
      </c>
      <c r="I120" s="51">
        <f>IF($D120="","",IF(COUNTIF('Item Master'!$A$4:$A$53,$D120)&gt;0,$D120,_xlfn.XLOOKUP($D120,'Item Master'!$B$4:$B$53,'Item Master'!$A$4:$A$53,"")))</f>
        <v/>
      </c>
      <c r="J120" s="51">
        <f>IF($I120="","",$C120&amp;"|"&amp;COUNTIFS($C$9:$C120,$C120,$I$9:$I120,"?*"))</f>
        <v/>
      </c>
      <c r="K120" s="52">
        <f>IF($I120="","",IF($F120="",1,$F120))</f>
        <v/>
      </c>
    </row>
    <row r="121" ht="32" customHeight="1">
      <c r="A121" s="46" t="n"/>
      <c r="B121" s="47" t="n"/>
      <c r="C121" s="48">
        <f>IF($D121="","",IF(OR($A121="x",ROW()=9),Settings!$C$14&amp;TEXT(1000+COUNTIF($A$9:$A121,"x")+IF($A$9&lt;&gt;"x",1,0),"0000"),$C120))</f>
        <v/>
      </c>
      <c r="D121" s="46" t="n"/>
      <c r="E121" s="31">
        <f>IF($D121="","",IF($I121="","⚠️ Unknown code",_xlfn.XLOOKUP($I121,'Item Master'!$A$4:$A$53,'Item Master'!$C$4:$C$53,"")))</f>
        <v/>
      </c>
      <c r="F121" s="49" t="n"/>
      <c r="G121" s="36">
        <f>IF($I121="","",_xlfn.XLOOKUP($I121,'Item Master'!$A$4:$A$53,'Item Master'!$F$4:$F$53,0))</f>
        <v/>
      </c>
      <c r="H121" s="50">
        <f>IF($I121="","",$K121*$G121)</f>
        <v/>
      </c>
      <c r="I121" s="51">
        <f>IF($D121="","",IF(COUNTIF('Item Master'!$A$4:$A$53,$D121)&gt;0,$D121,_xlfn.XLOOKUP($D121,'Item Master'!$B$4:$B$53,'Item Master'!$A$4:$A$53,"")))</f>
        <v/>
      </c>
      <c r="J121" s="51">
        <f>IF($I121="","",$C121&amp;"|"&amp;COUNTIFS($C$9:$C121,$C121,$I$9:$I121,"?*"))</f>
        <v/>
      </c>
      <c r="K121" s="52">
        <f>IF($I121="","",IF($F121="",1,$F121))</f>
        <v/>
      </c>
    </row>
    <row r="122" ht="32" customHeight="1">
      <c r="A122" s="46" t="n"/>
      <c r="B122" s="47" t="n"/>
      <c r="C122" s="48">
        <f>IF($D122="","",IF(OR($A122="x",ROW()=9),Settings!$C$14&amp;TEXT(1000+COUNTIF($A$9:$A122,"x")+IF($A$9&lt;&gt;"x",1,0),"0000"),$C121))</f>
        <v/>
      </c>
      <c r="D122" s="46" t="n"/>
      <c r="E122" s="31">
        <f>IF($D122="","",IF($I122="","⚠️ Unknown code",_xlfn.XLOOKUP($I122,'Item Master'!$A$4:$A$53,'Item Master'!$C$4:$C$53,"")))</f>
        <v/>
      </c>
      <c r="F122" s="49" t="n"/>
      <c r="G122" s="36">
        <f>IF($I122="","",_xlfn.XLOOKUP($I122,'Item Master'!$A$4:$A$53,'Item Master'!$F$4:$F$53,0))</f>
        <v/>
      </c>
      <c r="H122" s="50">
        <f>IF($I122="","",$K122*$G122)</f>
        <v/>
      </c>
      <c r="I122" s="51">
        <f>IF($D122="","",IF(COUNTIF('Item Master'!$A$4:$A$53,$D122)&gt;0,$D122,_xlfn.XLOOKUP($D122,'Item Master'!$B$4:$B$53,'Item Master'!$A$4:$A$53,"")))</f>
        <v/>
      </c>
      <c r="J122" s="51">
        <f>IF($I122="","",$C122&amp;"|"&amp;COUNTIFS($C$9:$C122,$C122,$I$9:$I122,"?*"))</f>
        <v/>
      </c>
      <c r="K122" s="52">
        <f>IF($I122="","",IF($F122="",1,$F122))</f>
        <v/>
      </c>
    </row>
    <row r="123" ht="32" customHeight="1">
      <c r="A123" s="46" t="n"/>
      <c r="B123" s="47" t="n"/>
      <c r="C123" s="48">
        <f>IF($D123="","",IF(OR($A123="x",ROW()=9),Settings!$C$14&amp;TEXT(1000+COUNTIF($A$9:$A123,"x")+IF($A$9&lt;&gt;"x",1,0),"0000"),$C122))</f>
        <v/>
      </c>
      <c r="D123" s="46" t="n"/>
      <c r="E123" s="31">
        <f>IF($D123="","",IF($I123="","⚠️ Unknown code",_xlfn.XLOOKUP($I123,'Item Master'!$A$4:$A$53,'Item Master'!$C$4:$C$53,"")))</f>
        <v/>
      </c>
      <c r="F123" s="49" t="n"/>
      <c r="G123" s="36">
        <f>IF($I123="","",_xlfn.XLOOKUP($I123,'Item Master'!$A$4:$A$53,'Item Master'!$F$4:$F$53,0))</f>
        <v/>
      </c>
      <c r="H123" s="50">
        <f>IF($I123="","",$K123*$G123)</f>
        <v/>
      </c>
      <c r="I123" s="51">
        <f>IF($D123="","",IF(COUNTIF('Item Master'!$A$4:$A$53,$D123)&gt;0,$D123,_xlfn.XLOOKUP($D123,'Item Master'!$B$4:$B$53,'Item Master'!$A$4:$A$53,"")))</f>
        <v/>
      </c>
      <c r="J123" s="51">
        <f>IF($I123="","",$C123&amp;"|"&amp;COUNTIFS($C$9:$C123,$C123,$I$9:$I123,"?*"))</f>
        <v/>
      </c>
      <c r="K123" s="52">
        <f>IF($I123="","",IF($F123="",1,$F123))</f>
        <v/>
      </c>
    </row>
    <row r="124" ht="32" customHeight="1">
      <c r="A124" s="46" t="n"/>
      <c r="B124" s="47" t="n"/>
      <c r="C124" s="48">
        <f>IF($D124="","",IF(OR($A124="x",ROW()=9),Settings!$C$14&amp;TEXT(1000+COUNTIF($A$9:$A124,"x")+IF($A$9&lt;&gt;"x",1,0),"0000"),$C123))</f>
        <v/>
      </c>
      <c r="D124" s="46" t="n"/>
      <c r="E124" s="31">
        <f>IF($D124="","",IF($I124="","⚠️ Unknown code",_xlfn.XLOOKUP($I124,'Item Master'!$A$4:$A$53,'Item Master'!$C$4:$C$53,"")))</f>
        <v/>
      </c>
      <c r="F124" s="49" t="n"/>
      <c r="G124" s="36">
        <f>IF($I124="","",_xlfn.XLOOKUP($I124,'Item Master'!$A$4:$A$53,'Item Master'!$F$4:$F$53,0))</f>
        <v/>
      </c>
      <c r="H124" s="50">
        <f>IF($I124="","",$K124*$G124)</f>
        <v/>
      </c>
      <c r="I124" s="51">
        <f>IF($D124="","",IF(COUNTIF('Item Master'!$A$4:$A$53,$D124)&gt;0,$D124,_xlfn.XLOOKUP($D124,'Item Master'!$B$4:$B$53,'Item Master'!$A$4:$A$53,"")))</f>
        <v/>
      </c>
      <c r="J124" s="51">
        <f>IF($I124="","",$C124&amp;"|"&amp;COUNTIFS($C$9:$C124,$C124,$I$9:$I124,"?*"))</f>
        <v/>
      </c>
      <c r="K124" s="52">
        <f>IF($I124="","",IF($F124="",1,$F124))</f>
        <v/>
      </c>
    </row>
    <row r="125" ht="32" customHeight="1">
      <c r="A125" s="46" t="n"/>
      <c r="B125" s="47" t="n"/>
      <c r="C125" s="48">
        <f>IF($D125="","",IF(OR($A125="x",ROW()=9),Settings!$C$14&amp;TEXT(1000+COUNTIF($A$9:$A125,"x")+IF($A$9&lt;&gt;"x",1,0),"0000"),$C124))</f>
        <v/>
      </c>
      <c r="D125" s="46" t="n"/>
      <c r="E125" s="31">
        <f>IF($D125="","",IF($I125="","⚠️ Unknown code",_xlfn.XLOOKUP($I125,'Item Master'!$A$4:$A$53,'Item Master'!$C$4:$C$53,"")))</f>
        <v/>
      </c>
      <c r="F125" s="49" t="n"/>
      <c r="G125" s="36">
        <f>IF($I125="","",_xlfn.XLOOKUP($I125,'Item Master'!$A$4:$A$53,'Item Master'!$F$4:$F$53,0))</f>
        <v/>
      </c>
      <c r="H125" s="50">
        <f>IF($I125="","",$K125*$G125)</f>
        <v/>
      </c>
      <c r="I125" s="51">
        <f>IF($D125="","",IF(COUNTIF('Item Master'!$A$4:$A$53,$D125)&gt;0,$D125,_xlfn.XLOOKUP($D125,'Item Master'!$B$4:$B$53,'Item Master'!$A$4:$A$53,"")))</f>
        <v/>
      </c>
      <c r="J125" s="51">
        <f>IF($I125="","",$C125&amp;"|"&amp;COUNTIFS($C$9:$C125,$C125,$I$9:$I125,"?*"))</f>
        <v/>
      </c>
      <c r="K125" s="52">
        <f>IF($I125="","",IF($F125="",1,$F125))</f>
        <v/>
      </c>
    </row>
    <row r="126" ht="32" customHeight="1">
      <c r="A126" s="46" t="n"/>
      <c r="B126" s="47" t="n"/>
      <c r="C126" s="48">
        <f>IF($D126="","",IF(OR($A126="x",ROW()=9),Settings!$C$14&amp;TEXT(1000+COUNTIF($A$9:$A126,"x")+IF($A$9&lt;&gt;"x",1,0),"0000"),$C125))</f>
        <v/>
      </c>
      <c r="D126" s="46" t="n"/>
      <c r="E126" s="31">
        <f>IF($D126="","",IF($I126="","⚠️ Unknown code",_xlfn.XLOOKUP($I126,'Item Master'!$A$4:$A$53,'Item Master'!$C$4:$C$53,"")))</f>
        <v/>
      </c>
      <c r="F126" s="49" t="n"/>
      <c r="G126" s="36">
        <f>IF($I126="","",_xlfn.XLOOKUP($I126,'Item Master'!$A$4:$A$53,'Item Master'!$F$4:$F$53,0))</f>
        <v/>
      </c>
      <c r="H126" s="50">
        <f>IF($I126="","",$K126*$G126)</f>
        <v/>
      </c>
      <c r="I126" s="51">
        <f>IF($D126="","",IF(COUNTIF('Item Master'!$A$4:$A$53,$D126)&gt;0,$D126,_xlfn.XLOOKUP($D126,'Item Master'!$B$4:$B$53,'Item Master'!$A$4:$A$53,"")))</f>
        <v/>
      </c>
      <c r="J126" s="51">
        <f>IF($I126="","",$C126&amp;"|"&amp;COUNTIFS($C$9:$C126,$C126,$I$9:$I126,"?*"))</f>
        <v/>
      </c>
      <c r="K126" s="52">
        <f>IF($I126="","",IF($F126="",1,$F126))</f>
        <v/>
      </c>
    </row>
    <row r="127" ht="32" customHeight="1">
      <c r="A127" s="46" t="n"/>
      <c r="B127" s="47" t="n"/>
      <c r="C127" s="48">
        <f>IF($D127="","",IF(OR($A127="x",ROW()=9),Settings!$C$14&amp;TEXT(1000+COUNTIF($A$9:$A127,"x")+IF($A$9&lt;&gt;"x",1,0),"0000"),$C126))</f>
        <v/>
      </c>
      <c r="D127" s="46" t="n"/>
      <c r="E127" s="31">
        <f>IF($D127="","",IF($I127="","⚠️ Unknown code",_xlfn.XLOOKUP($I127,'Item Master'!$A$4:$A$53,'Item Master'!$C$4:$C$53,"")))</f>
        <v/>
      </c>
      <c r="F127" s="49" t="n"/>
      <c r="G127" s="36">
        <f>IF($I127="","",_xlfn.XLOOKUP($I127,'Item Master'!$A$4:$A$53,'Item Master'!$F$4:$F$53,0))</f>
        <v/>
      </c>
      <c r="H127" s="50">
        <f>IF($I127="","",$K127*$G127)</f>
        <v/>
      </c>
      <c r="I127" s="51">
        <f>IF($D127="","",IF(COUNTIF('Item Master'!$A$4:$A$53,$D127)&gt;0,$D127,_xlfn.XLOOKUP($D127,'Item Master'!$B$4:$B$53,'Item Master'!$A$4:$A$53,"")))</f>
        <v/>
      </c>
      <c r="J127" s="51">
        <f>IF($I127="","",$C127&amp;"|"&amp;COUNTIFS($C$9:$C127,$C127,$I$9:$I127,"?*"))</f>
        <v/>
      </c>
      <c r="K127" s="52">
        <f>IF($I127="","",IF($F127="",1,$F127))</f>
        <v/>
      </c>
    </row>
    <row r="128" ht="32" customHeight="1">
      <c r="A128" s="46" t="n"/>
      <c r="B128" s="47" t="n"/>
      <c r="C128" s="48">
        <f>IF($D128="","",IF(OR($A128="x",ROW()=9),Settings!$C$14&amp;TEXT(1000+COUNTIF($A$9:$A128,"x")+IF($A$9&lt;&gt;"x",1,0),"0000"),$C127))</f>
        <v/>
      </c>
      <c r="D128" s="46" t="n"/>
      <c r="E128" s="31">
        <f>IF($D128="","",IF($I128="","⚠️ Unknown code",_xlfn.XLOOKUP($I128,'Item Master'!$A$4:$A$53,'Item Master'!$C$4:$C$53,"")))</f>
        <v/>
      </c>
      <c r="F128" s="49" t="n"/>
      <c r="G128" s="36">
        <f>IF($I128="","",_xlfn.XLOOKUP($I128,'Item Master'!$A$4:$A$53,'Item Master'!$F$4:$F$53,0))</f>
        <v/>
      </c>
      <c r="H128" s="50">
        <f>IF($I128="","",$K128*$G128)</f>
        <v/>
      </c>
      <c r="I128" s="51">
        <f>IF($D128="","",IF(COUNTIF('Item Master'!$A$4:$A$53,$D128)&gt;0,$D128,_xlfn.XLOOKUP($D128,'Item Master'!$B$4:$B$53,'Item Master'!$A$4:$A$53,"")))</f>
        <v/>
      </c>
      <c r="J128" s="51">
        <f>IF($I128="","",$C128&amp;"|"&amp;COUNTIFS($C$9:$C128,$C128,$I$9:$I128,"?*"))</f>
        <v/>
      </c>
      <c r="K128" s="52">
        <f>IF($I128="","",IF($F128="",1,$F128))</f>
        <v/>
      </c>
    </row>
    <row r="129" ht="32" customHeight="1">
      <c r="A129" s="46" t="n"/>
      <c r="B129" s="47" t="n"/>
      <c r="C129" s="48">
        <f>IF($D129="","",IF(OR($A129="x",ROW()=9),Settings!$C$14&amp;TEXT(1000+COUNTIF($A$9:$A129,"x")+IF($A$9&lt;&gt;"x",1,0),"0000"),$C128))</f>
        <v/>
      </c>
      <c r="D129" s="46" t="n"/>
      <c r="E129" s="31">
        <f>IF($D129="","",IF($I129="","⚠️ Unknown code",_xlfn.XLOOKUP($I129,'Item Master'!$A$4:$A$53,'Item Master'!$C$4:$C$53,"")))</f>
        <v/>
      </c>
      <c r="F129" s="49" t="n"/>
      <c r="G129" s="36">
        <f>IF($I129="","",_xlfn.XLOOKUP($I129,'Item Master'!$A$4:$A$53,'Item Master'!$F$4:$F$53,0))</f>
        <v/>
      </c>
      <c r="H129" s="50">
        <f>IF($I129="","",$K129*$G129)</f>
        <v/>
      </c>
      <c r="I129" s="51">
        <f>IF($D129="","",IF(COUNTIF('Item Master'!$A$4:$A$53,$D129)&gt;0,$D129,_xlfn.XLOOKUP($D129,'Item Master'!$B$4:$B$53,'Item Master'!$A$4:$A$53,"")))</f>
        <v/>
      </c>
      <c r="J129" s="51">
        <f>IF($I129="","",$C129&amp;"|"&amp;COUNTIFS($C$9:$C129,$C129,$I$9:$I129,"?*"))</f>
        <v/>
      </c>
      <c r="K129" s="52">
        <f>IF($I129="","",IF($F129="",1,$F129))</f>
        <v/>
      </c>
    </row>
    <row r="130" ht="32" customHeight="1">
      <c r="A130" s="46" t="n"/>
      <c r="B130" s="47" t="n"/>
      <c r="C130" s="48">
        <f>IF($D130="","",IF(OR($A130="x",ROW()=9),Settings!$C$14&amp;TEXT(1000+COUNTIF($A$9:$A130,"x")+IF($A$9&lt;&gt;"x",1,0),"0000"),$C129))</f>
        <v/>
      </c>
      <c r="D130" s="46" t="n"/>
      <c r="E130" s="31">
        <f>IF($D130="","",IF($I130="","⚠️ Unknown code",_xlfn.XLOOKUP($I130,'Item Master'!$A$4:$A$53,'Item Master'!$C$4:$C$53,"")))</f>
        <v/>
      </c>
      <c r="F130" s="49" t="n"/>
      <c r="G130" s="36">
        <f>IF($I130="","",_xlfn.XLOOKUP($I130,'Item Master'!$A$4:$A$53,'Item Master'!$F$4:$F$53,0))</f>
        <v/>
      </c>
      <c r="H130" s="50">
        <f>IF($I130="","",$K130*$G130)</f>
        <v/>
      </c>
      <c r="I130" s="51">
        <f>IF($D130="","",IF(COUNTIF('Item Master'!$A$4:$A$53,$D130)&gt;0,$D130,_xlfn.XLOOKUP($D130,'Item Master'!$B$4:$B$53,'Item Master'!$A$4:$A$53,"")))</f>
        <v/>
      </c>
      <c r="J130" s="51">
        <f>IF($I130="","",$C130&amp;"|"&amp;COUNTIFS($C$9:$C130,$C130,$I$9:$I130,"?*"))</f>
        <v/>
      </c>
      <c r="K130" s="52">
        <f>IF($I130="","",IF($F130="",1,$F130))</f>
        <v/>
      </c>
    </row>
    <row r="131" ht="32" customHeight="1">
      <c r="A131" s="46" t="n"/>
      <c r="B131" s="47" t="n"/>
      <c r="C131" s="48">
        <f>IF($D131="","",IF(OR($A131="x",ROW()=9),Settings!$C$14&amp;TEXT(1000+COUNTIF($A$9:$A131,"x")+IF($A$9&lt;&gt;"x",1,0),"0000"),$C130))</f>
        <v/>
      </c>
      <c r="D131" s="46" t="n"/>
      <c r="E131" s="31">
        <f>IF($D131="","",IF($I131="","⚠️ Unknown code",_xlfn.XLOOKUP($I131,'Item Master'!$A$4:$A$53,'Item Master'!$C$4:$C$53,"")))</f>
        <v/>
      </c>
      <c r="F131" s="49" t="n"/>
      <c r="G131" s="36">
        <f>IF($I131="","",_xlfn.XLOOKUP($I131,'Item Master'!$A$4:$A$53,'Item Master'!$F$4:$F$53,0))</f>
        <v/>
      </c>
      <c r="H131" s="50">
        <f>IF($I131="","",$K131*$G131)</f>
        <v/>
      </c>
      <c r="I131" s="51">
        <f>IF($D131="","",IF(COUNTIF('Item Master'!$A$4:$A$53,$D131)&gt;0,$D131,_xlfn.XLOOKUP($D131,'Item Master'!$B$4:$B$53,'Item Master'!$A$4:$A$53,"")))</f>
        <v/>
      </c>
      <c r="J131" s="51">
        <f>IF($I131="","",$C131&amp;"|"&amp;COUNTIFS($C$9:$C131,$C131,$I$9:$I131,"?*"))</f>
        <v/>
      </c>
      <c r="K131" s="52">
        <f>IF($I131="","",IF($F131="",1,$F131))</f>
        <v/>
      </c>
    </row>
    <row r="132" ht="32" customHeight="1">
      <c r="A132" s="46" t="n"/>
      <c r="B132" s="47" t="n"/>
      <c r="C132" s="48">
        <f>IF($D132="","",IF(OR($A132="x",ROW()=9),Settings!$C$14&amp;TEXT(1000+COUNTIF($A$9:$A132,"x")+IF($A$9&lt;&gt;"x",1,0),"0000"),$C131))</f>
        <v/>
      </c>
      <c r="D132" s="46" t="n"/>
      <c r="E132" s="31">
        <f>IF($D132="","",IF($I132="","⚠️ Unknown code",_xlfn.XLOOKUP($I132,'Item Master'!$A$4:$A$53,'Item Master'!$C$4:$C$53,"")))</f>
        <v/>
      </c>
      <c r="F132" s="49" t="n"/>
      <c r="G132" s="36">
        <f>IF($I132="","",_xlfn.XLOOKUP($I132,'Item Master'!$A$4:$A$53,'Item Master'!$F$4:$F$53,0))</f>
        <v/>
      </c>
      <c r="H132" s="50">
        <f>IF($I132="","",$K132*$G132)</f>
        <v/>
      </c>
      <c r="I132" s="51">
        <f>IF($D132="","",IF(COUNTIF('Item Master'!$A$4:$A$53,$D132)&gt;0,$D132,_xlfn.XLOOKUP($D132,'Item Master'!$B$4:$B$53,'Item Master'!$A$4:$A$53,"")))</f>
        <v/>
      </c>
      <c r="J132" s="51">
        <f>IF($I132="","",$C132&amp;"|"&amp;COUNTIFS($C$9:$C132,$C132,$I$9:$I132,"?*"))</f>
        <v/>
      </c>
      <c r="K132" s="52">
        <f>IF($I132="","",IF($F132="",1,$F132))</f>
        <v/>
      </c>
    </row>
    <row r="133" ht="32" customHeight="1">
      <c r="A133" s="46" t="n"/>
      <c r="B133" s="47" t="n"/>
      <c r="C133" s="48">
        <f>IF($D133="","",IF(OR($A133="x",ROW()=9),Settings!$C$14&amp;TEXT(1000+COUNTIF($A$9:$A133,"x")+IF($A$9&lt;&gt;"x",1,0),"0000"),$C132))</f>
        <v/>
      </c>
      <c r="D133" s="46" t="n"/>
      <c r="E133" s="31">
        <f>IF($D133="","",IF($I133="","⚠️ Unknown code",_xlfn.XLOOKUP($I133,'Item Master'!$A$4:$A$53,'Item Master'!$C$4:$C$53,"")))</f>
        <v/>
      </c>
      <c r="F133" s="49" t="n"/>
      <c r="G133" s="36">
        <f>IF($I133="","",_xlfn.XLOOKUP($I133,'Item Master'!$A$4:$A$53,'Item Master'!$F$4:$F$53,0))</f>
        <v/>
      </c>
      <c r="H133" s="50">
        <f>IF($I133="","",$K133*$G133)</f>
        <v/>
      </c>
      <c r="I133" s="51">
        <f>IF($D133="","",IF(COUNTIF('Item Master'!$A$4:$A$53,$D133)&gt;0,$D133,_xlfn.XLOOKUP($D133,'Item Master'!$B$4:$B$53,'Item Master'!$A$4:$A$53,"")))</f>
        <v/>
      </c>
      <c r="J133" s="51">
        <f>IF($I133="","",$C133&amp;"|"&amp;COUNTIFS($C$9:$C133,$C133,$I$9:$I133,"?*"))</f>
        <v/>
      </c>
      <c r="K133" s="52">
        <f>IF($I133="","",IF($F133="",1,$F133))</f>
        <v/>
      </c>
    </row>
    <row r="134" ht="32" customHeight="1">
      <c r="A134" s="46" t="n"/>
      <c r="B134" s="47" t="n"/>
      <c r="C134" s="48">
        <f>IF($D134="","",IF(OR($A134="x",ROW()=9),Settings!$C$14&amp;TEXT(1000+COUNTIF($A$9:$A134,"x")+IF($A$9&lt;&gt;"x",1,0),"0000"),$C133))</f>
        <v/>
      </c>
      <c r="D134" s="46" t="n"/>
      <c r="E134" s="31">
        <f>IF($D134="","",IF($I134="","⚠️ Unknown code",_xlfn.XLOOKUP($I134,'Item Master'!$A$4:$A$53,'Item Master'!$C$4:$C$53,"")))</f>
        <v/>
      </c>
      <c r="F134" s="49" t="n"/>
      <c r="G134" s="36">
        <f>IF($I134="","",_xlfn.XLOOKUP($I134,'Item Master'!$A$4:$A$53,'Item Master'!$F$4:$F$53,0))</f>
        <v/>
      </c>
      <c r="H134" s="50">
        <f>IF($I134="","",$K134*$G134)</f>
        <v/>
      </c>
      <c r="I134" s="51">
        <f>IF($D134="","",IF(COUNTIF('Item Master'!$A$4:$A$53,$D134)&gt;0,$D134,_xlfn.XLOOKUP($D134,'Item Master'!$B$4:$B$53,'Item Master'!$A$4:$A$53,"")))</f>
        <v/>
      </c>
      <c r="J134" s="51">
        <f>IF($I134="","",$C134&amp;"|"&amp;COUNTIFS($C$9:$C134,$C134,$I$9:$I134,"?*"))</f>
        <v/>
      </c>
      <c r="K134" s="52">
        <f>IF($I134="","",IF($F134="",1,$F134))</f>
        <v/>
      </c>
    </row>
    <row r="135" ht="32" customHeight="1">
      <c r="A135" s="46" t="n"/>
      <c r="B135" s="47" t="n"/>
      <c r="C135" s="48">
        <f>IF($D135="","",IF(OR($A135="x",ROW()=9),Settings!$C$14&amp;TEXT(1000+COUNTIF($A$9:$A135,"x")+IF($A$9&lt;&gt;"x",1,0),"0000"),$C134))</f>
        <v/>
      </c>
      <c r="D135" s="46" t="n"/>
      <c r="E135" s="31">
        <f>IF($D135="","",IF($I135="","⚠️ Unknown code",_xlfn.XLOOKUP($I135,'Item Master'!$A$4:$A$53,'Item Master'!$C$4:$C$53,"")))</f>
        <v/>
      </c>
      <c r="F135" s="49" t="n"/>
      <c r="G135" s="36">
        <f>IF($I135="","",_xlfn.XLOOKUP($I135,'Item Master'!$A$4:$A$53,'Item Master'!$F$4:$F$53,0))</f>
        <v/>
      </c>
      <c r="H135" s="50">
        <f>IF($I135="","",$K135*$G135)</f>
        <v/>
      </c>
      <c r="I135" s="51">
        <f>IF($D135="","",IF(COUNTIF('Item Master'!$A$4:$A$53,$D135)&gt;0,$D135,_xlfn.XLOOKUP($D135,'Item Master'!$B$4:$B$53,'Item Master'!$A$4:$A$53,"")))</f>
        <v/>
      </c>
      <c r="J135" s="51">
        <f>IF($I135="","",$C135&amp;"|"&amp;COUNTIFS($C$9:$C135,$C135,$I$9:$I135,"?*"))</f>
        <v/>
      </c>
      <c r="K135" s="52">
        <f>IF($I135="","",IF($F135="",1,$F135))</f>
        <v/>
      </c>
    </row>
    <row r="136" ht="32" customHeight="1">
      <c r="A136" s="46" t="n"/>
      <c r="B136" s="47" t="n"/>
      <c r="C136" s="48">
        <f>IF($D136="","",IF(OR($A136="x",ROW()=9),Settings!$C$14&amp;TEXT(1000+COUNTIF($A$9:$A136,"x")+IF($A$9&lt;&gt;"x",1,0),"0000"),$C135))</f>
        <v/>
      </c>
      <c r="D136" s="46" t="n"/>
      <c r="E136" s="31">
        <f>IF($D136="","",IF($I136="","⚠️ Unknown code",_xlfn.XLOOKUP($I136,'Item Master'!$A$4:$A$53,'Item Master'!$C$4:$C$53,"")))</f>
        <v/>
      </c>
      <c r="F136" s="49" t="n"/>
      <c r="G136" s="36">
        <f>IF($I136="","",_xlfn.XLOOKUP($I136,'Item Master'!$A$4:$A$53,'Item Master'!$F$4:$F$53,0))</f>
        <v/>
      </c>
      <c r="H136" s="50">
        <f>IF($I136="","",$K136*$G136)</f>
        <v/>
      </c>
      <c r="I136" s="51">
        <f>IF($D136="","",IF(COUNTIF('Item Master'!$A$4:$A$53,$D136)&gt;0,$D136,_xlfn.XLOOKUP($D136,'Item Master'!$B$4:$B$53,'Item Master'!$A$4:$A$53,"")))</f>
        <v/>
      </c>
      <c r="J136" s="51">
        <f>IF($I136="","",$C136&amp;"|"&amp;COUNTIFS($C$9:$C136,$C136,$I$9:$I136,"?*"))</f>
        <v/>
      </c>
      <c r="K136" s="52">
        <f>IF($I136="","",IF($F136="",1,$F136))</f>
        <v/>
      </c>
    </row>
    <row r="137" ht="32" customHeight="1">
      <c r="A137" s="46" t="n"/>
      <c r="B137" s="47" t="n"/>
      <c r="C137" s="48">
        <f>IF($D137="","",IF(OR($A137="x",ROW()=9),Settings!$C$14&amp;TEXT(1000+COUNTIF($A$9:$A137,"x")+IF($A$9&lt;&gt;"x",1,0),"0000"),$C136))</f>
        <v/>
      </c>
      <c r="D137" s="46" t="n"/>
      <c r="E137" s="31">
        <f>IF($D137="","",IF($I137="","⚠️ Unknown code",_xlfn.XLOOKUP($I137,'Item Master'!$A$4:$A$53,'Item Master'!$C$4:$C$53,"")))</f>
        <v/>
      </c>
      <c r="F137" s="49" t="n"/>
      <c r="G137" s="36">
        <f>IF($I137="","",_xlfn.XLOOKUP($I137,'Item Master'!$A$4:$A$53,'Item Master'!$F$4:$F$53,0))</f>
        <v/>
      </c>
      <c r="H137" s="50">
        <f>IF($I137="","",$K137*$G137)</f>
        <v/>
      </c>
      <c r="I137" s="51">
        <f>IF($D137="","",IF(COUNTIF('Item Master'!$A$4:$A$53,$D137)&gt;0,$D137,_xlfn.XLOOKUP($D137,'Item Master'!$B$4:$B$53,'Item Master'!$A$4:$A$53,"")))</f>
        <v/>
      </c>
      <c r="J137" s="51">
        <f>IF($I137="","",$C137&amp;"|"&amp;COUNTIFS($C$9:$C137,$C137,$I$9:$I137,"?*"))</f>
        <v/>
      </c>
      <c r="K137" s="52">
        <f>IF($I137="","",IF($F137="",1,$F137))</f>
        <v/>
      </c>
    </row>
    <row r="138" ht="32" customHeight="1">
      <c r="A138" s="46" t="n"/>
      <c r="B138" s="47" t="n"/>
      <c r="C138" s="48">
        <f>IF($D138="","",IF(OR($A138="x",ROW()=9),Settings!$C$14&amp;TEXT(1000+COUNTIF($A$9:$A138,"x")+IF($A$9&lt;&gt;"x",1,0),"0000"),$C137))</f>
        <v/>
      </c>
      <c r="D138" s="46" t="n"/>
      <c r="E138" s="31">
        <f>IF($D138="","",IF($I138="","⚠️ Unknown code",_xlfn.XLOOKUP($I138,'Item Master'!$A$4:$A$53,'Item Master'!$C$4:$C$53,"")))</f>
        <v/>
      </c>
      <c r="F138" s="49" t="n"/>
      <c r="G138" s="36">
        <f>IF($I138="","",_xlfn.XLOOKUP($I138,'Item Master'!$A$4:$A$53,'Item Master'!$F$4:$F$53,0))</f>
        <v/>
      </c>
      <c r="H138" s="50">
        <f>IF($I138="","",$K138*$G138)</f>
        <v/>
      </c>
      <c r="I138" s="51">
        <f>IF($D138="","",IF(COUNTIF('Item Master'!$A$4:$A$53,$D138)&gt;0,$D138,_xlfn.XLOOKUP($D138,'Item Master'!$B$4:$B$53,'Item Master'!$A$4:$A$53,"")))</f>
        <v/>
      </c>
      <c r="J138" s="51">
        <f>IF($I138="","",$C138&amp;"|"&amp;COUNTIFS($C$9:$C138,$C138,$I$9:$I138,"?*"))</f>
        <v/>
      </c>
      <c r="K138" s="52">
        <f>IF($I138="","",IF($F138="",1,$F138))</f>
        <v/>
      </c>
    </row>
    <row r="139" ht="32" customHeight="1">
      <c r="A139" s="46" t="n"/>
      <c r="B139" s="47" t="n"/>
      <c r="C139" s="48">
        <f>IF($D139="","",IF(OR($A139="x",ROW()=9),Settings!$C$14&amp;TEXT(1000+COUNTIF($A$9:$A139,"x")+IF($A$9&lt;&gt;"x",1,0),"0000"),$C138))</f>
        <v/>
      </c>
      <c r="D139" s="46" t="n"/>
      <c r="E139" s="31">
        <f>IF($D139="","",IF($I139="","⚠️ Unknown code",_xlfn.XLOOKUP($I139,'Item Master'!$A$4:$A$53,'Item Master'!$C$4:$C$53,"")))</f>
        <v/>
      </c>
      <c r="F139" s="49" t="n"/>
      <c r="G139" s="36">
        <f>IF($I139="","",_xlfn.XLOOKUP($I139,'Item Master'!$A$4:$A$53,'Item Master'!$F$4:$F$53,0))</f>
        <v/>
      </c>
      <c r="H139" s="50">
        <f>IF($I139="","",$K139*$G139)</f>
        <v/>
      </c>
      <c r="I139" s="51">
        <f>IF($D139="","",IF(COUNTIF('Item Master'!$A$4:$A$53,$D139)&gt;0,$D139,_xlfn.XLOOKUP($D139,'Item Master'!$B$4:$B$53,'Item Master'!$A$4:$A$53,"")))</f>
        <v/>
      </c>
      <c r="J139" s="51">
        <f>IF($I139="","",$C139&amp;"|"&amp;COUNTIFS($C$9:$C139,$C139,$I$9:$I139,"?*"))</f>
        <v/>
      </c>
      <c r="K139" s="52">
        <f>IF($I139="","",IF($F139="",1,$F139))</f>
        <v/>
      </c>
    </row>
    <row r="140" ht="32" customHeight="1">
      <c r="A140" s="46" t="n"/>
      <c r="B140" s="47" t="n"/>
      <c r="C140" s="48">
        <f>IF($D140="","",IF(OR($A140="x",ROW()=9),Settings!$C$14&amp;TEXT(1000+COUNTIF($A$9:$A140,"x")+IF($A$9&lt;&gt;"x",1,0),"0000"),$C139))</f>
        <v/>
      </c>
      <c r="D140" s="46" t="n"/>
      <c r="E140" s="31">
        <f>IF($D140="","",IF($I140="","⚠️ Unknown code",_xlfn.XLOOKUP($I140,'Item Master'!$A$4:$A$53,'Item Master'!$C$4:$C$53,"")))</f>
        <v/>
      </c>
      <c r="F140" s="49" t="n"/>
      <c r="G140" s="36">
        <f>IF($I140="","",_xlfn.XLOOKUP($I140,'Item Master'!$A$4:$A$53,'Item Master'!$F$4:$F$53,0))</f>
        <v/>
      </c>
      <c r="H140" s="50">
        <f>IF($I140="","",$K140*$G140)</f>
        <v/>
      </c>
      <c r="I140" s="51">
        <f>IF($D140="","",IF(COUNTIF('Item Master'!$A$4:$A$53,$D140)&gt;0,$D140,_xlfn.XLOOKUP($D140,'Item Master'!$B$4:$B$53,'Item Master'!$A$4:$A$53,"")))</f>
        <v/>
      </c>
      <c r="J140" s="51">
        <f>IF($I140="","",$C140&amp;"|"&amp;COUNTIFS($C$9:$C140,$C140,$I$9:$I140,"?*"))</f>
        <v/>
      </c>
      <c r="K140" s="52">
        <f>IF($I140="","",IF($F140="",1,$F140))</f>
        <v/>
      </c>
    </row>
    <row r="141" ht="32" customHeight="1">
      <c r="A141" s="46" t="n"/>
      <c r="B141" s="47" t="n"/>
      <c r="C141" s="48">
        <f>IF($D141="","",IF(OR($A141="x",ROW()=9),Settings!$C$14&amp;TEXT(1000+COUNTIF($A$9:$A141,"x")+IF($A$9&lt;&gt;"x",1,0),"0000"),$C140))</f>
        <v/>
      </c>
      <c r="D141" s="46" t="n"/>
      <c r="E141" s="31">
        <f>IF($D141="","",IF($I141="","⚠️ Unknown code",_xlfn.XLOOKUP($I141,'Item Master'!$A$4:$A$53,'Item Master'!$C$4:$C$53,"")))</f>
        <v/>
      </c>
      <c r="F141" s="49" t="n"/>
      <c r="G141" s="36">
        <f>IF($I141="","",_xlfn.XLOOKUP($I141,'Item Master'!$A$4:$A$53,'Item Master'!$F$4:$F$53,0))</f>
        <v/>
      </c>
      <c r="H141" s="50">
        <f>IF($I141="","",$K141*$G141)</f>
        <v/>
      </c>
      <c r="I141" s="51">
        <f>IF($D141="","",IF(COUNTIF('Item Master'!$A$4:$A$53,$D141)&gt;0,$D141,_xlfn.XLOOKUP($D141,'Item Master'!$B$4:$B$53,'Item Master'!$A$4:$A$53,"")))</f>
        <v/>
      </c>
      <c r="J141" s="51">
        <f>IF($I141="","",$C141&amp;"|"&amp;COUNTIFS($C$9:$C141,$C141,$I$9:$I141,"?*"))</f>
        <v/>
      </c>
      <c r="K141" s="52">
        <f>IF($I141="","",IF($F141="",1,$F141))</f>
        <v/>
      </c>
    </row>
    <row r="142" ht="32" customHeight="1">
      <c r="A142" s="46" t="n"/>
      <c r="B142" s="47" t="n"/>
      <c r="C142" s="48">
        <f>IF($D142="","",IF(OR($A142="x",ROW()=9),Settings!$C$14&amp;TEXT(1000+COUNTIF($A$9:$A142,"x")+IF($A$9&lt;&gt;"x",1,0),"0000"),$C141))</f>
        <v/>
      </c>
      <c r="D142" s="46" t="n"/>
      <c r="E142" s="31">
        <f>IF($D142="","",IF($I142="","⚠️ Unknown code",_xlfn.XLOOKUP($I142,'Item Master'!$A$4:$A$53,'Item Master'!$C$4:$C$53,"")))</f>
        <v/>
      </c>
      <c r="F142" s="49" t="n"/>
      <c r="G142" s="36">
        <f>IF($I142="","",_xlfn.XLOOKUP($I142,'Item Master'!$A$4:$A$53,'Item Master'!$F$4:$F$53,0))</f>
        <v/>
      </c>
      <c r="H142" s="50">
        <f>IF($I142="","",$K142*$G142)</f>
        <v/>
      </c>
      <c r="I142" s="51">
        <f>IF($D142="","",IF(COUNTIF('Item Master'!$A$4:$A$53,$D142)&gt;0,$D142,_xlfn.XLOOKUP($D142,'Item Master'!$B$4:$B$53,'Item Master'!$A$4:$A$53,"")))</f>
        <v/>
      </c>
      <c r="J142" s="51">
        <f>IF($I142="","",$C142&amp;"|"&amp;COUNTIFS($C$9:$C142,$C142,$I$9:$I142,"?*"))</f>
        <v/>
      </c>
      <c r="K142" s="52">
        <f>IF($I142="","",IF($F142="",1,$F142))</f>
        <v/>
      </c>
    </row>
    <row r="143" ht="32" customHeight="1">
      <c r="A143" s="46" t="n"/>
      <c r="B143" s="47" t="n"/>
      <c r="C143" s="48">
        <f>IF($D143="","",IF(OR($A143="x",ROW()=9),Settings!$C$14&amp;TEXT(1000+COUNTIF($A$9:$A143,"x")+IF($A$9&lt;&gt;"x",1,0),"0000"),$C142))</f>
        <v/>
      </c>
      <c r="D143" s="46" t="n"/>
      <c r="E143" s="31">
        <f>IF($D143="","",IF($I143="","⚠️ Unknown code",_xlfn.XLOOKUP($I143,'Item Master'!$A$4:$A$53,'Item Master'!$C$4:$C$53,"")))</f>
        <v/>
      </c>
      <c r="F143" s="49" t="n"/>
      <c r="G143" s="36">
        <f>IF($I143="","",_xlfn.XLOOKUP($I143,'Item Master'!$A$4:$A$53,'Item Master'!$F$4:$F$53,0))</f>
        <v/>
      </c>
      <c r="H143" s="50">
        <f>IF($I143="","",$K143*$G143)</f>
        <v/>
      </c>
      <c r="I143" s="51">
        <f>IF($D143="","",IF(COUNTIF('Item Master'!$A$4:$A$53,$D143)&gt;0,$D143,_xlfn.XLOOKUP($D143,'Item Master'!$B$4:$B$53,'Item Master'!$A$4:$A$53,"")))</f>
        <v/>
      </c>
      <c r="J143" s="51">
        <f>IF($I143="","",$C143&amp;"|"&amp;COUNTIFS($C$9:$C143,$C143,$I$9:$I143,"?*"))</f>
        <v/>
      </c>
      <c r="K143" s="52">
        <f>IF($I143="","",IF($F143="",1,$F143))</f>
        <v/>
      </c>
    </row>
    <row r="144" ht="32" customHeight="1">
      <c r="A144" s="46" t="n"/>
      <c r="B144" s="47" t="n"/>
      <c r="C144" s="48">
        <f>IF($D144="","",IF(OR($A144="x",ROW()=9),Settings!$C$14&amp;TEXT(1000+COUNTIF($A$9:$A144,"x")+IF($A$9&lt;&gt;"x",1,0),"0000"),$C143))</f>
        <v/>
      </c>
      <c r="D144" s="46" t="n"/>
      <c r="E144" s="31">
        <f>IF($D144="","",IF($I144="","⚠️ Unknown code",_xlfn.XLOOKUP($I144,'Item Master'!$A$4:$A$53,'Item Master'!$C$4:$C$53,"")))</f>
        <v/>
      </c>
      <c r="F144" s="49" t="n"/>
      <c r="G144" s="36">
        <f>IF($I144="","",_xlfn.XLOOKUP($I144,'Item Master'!$A$4:$A$53,'Item Master'!$F$4:$F$53,0))</f>
        <v/>
      </c>
      <c r="H144" s="50">
        <f>IF($I144="","",$K144*$G144)</f>
        <v/>
      </c>
      <c r="I144" s="51">
        <f>IF($D144="","",IF(COUNTIF('Item Master'!$A$4:$A$53,$D144)&gt;0,$D144,_xlfn.XLOOKUP($D144,'Item Master'!$B$4:$B$53,'Item Master'!$A$4:$A$53,"")))</f>
        <v/>
      </c>
      <c r="J144" s="51">
        <f>IF($I144="","",$C144&amp;"|"&amp;COUNTIFS($C$9:$C144,$C144,$I$9:$I144,"?*"))</f>
        <v/>
      </c>
      <c r="K144" s="52">
        <f>IF($I144="","",IF($F144="",1,$F144))</f>
        <v/>
      </c>
    </row>
    <row r="145" ht="32" customHeight="1">
      <c r="A145" s="46" t="n"/>
      <c r="B145" s="47" t="n"/>
      <c r="C145" s="48">
        <f>IF($D145="","",IF(OR($A145="x",ROW()=9),Settings!$C$14&amp;TEXT(1000+COUNTIF($A$9:$A145,"x")+IF($A$9&lt;&gt;"x",1,0),"0000"),$C144))</f>
        <v/>
      </c>
      <c r="D145" s="46" t="n"/>
      <c r="E145" s="31">
        <f>IF($D145="","",IF($I145="","⚠️ Unknown code",_xlfn.XLOOKUP($I145,'Item Master'!$A$4:$A$53,'Item Master'!$C$4:$C$53,"")))</f>
        <v/>
      </c>
      <c r="F145" s="49" t="n"/>
      <c r="G145" s="36">
        <f>IF($I145="","",_xlfn.XLOOKUP($I145,'Item Master'!$A$4:$A$53,'Item Master'!$F$4:$F$53,0))</f>
        <v/>
      </c>
      <c r="H145" s="50">
        <f>IF($I145="","",$K145*$G145)</f>
        <v/>
      </c>
      <c r="I145" s="51">
        <f>IF($D145="","",IF(COUNTIF('Item Master'!$A$4:$A$53,$D145)&gt;0,$D145,_xlfn.XLOOKUP($D145,'Item Master'!$B$4:$B$53,'Item Master'!$A$4:$A$53,"")))</f>
        <v/>
      </c>
      <c r="J145" s="51">
        <f>IF($I145="","",$C145&amp;"|"&amp;COUNTIFS($C$9:$C145,$C145,$I$9:$I145,"?*"))</f>
        <v/>
      </c>
      <c r="K145" s="52">
        <f>IF($I145="","",IF($F145="",1,$F145))</f>
        <v/>
      </c>
    </row>
    <row r="146" ht="32" customHeight="1">
      <c r="A146" s="46" t="n"/>
      <c r="B146" s="47" t="n"/>
      <c r="C146" s="48">
        <f>IF($D146="","",IF(OR($A146="x",ROW()=9),Settings!$C$14&amp;TEXT(1000+COUNTIF($A$9:$A146,"x")+IF($A$9&lt;&gt;"x",1,0),"0000"),$C145))</f>
        <v/>
      </c>
      <c r="D146" s="46" t="n"/>
      <c r="E146" s="31">
        <f>IF($D146="","",IF($I146="","⚠️ Unknown code",_xlfn.XLOOKUP($I146,'Item Master'!$A$4:$A$53,'Item Master'!$C$4:$C$53,"")))</f>
        <v/>
      </c>
      <c r="F146" s="49" t="n"/>
      <c r="G146" s="36">
        <f>IF($I146="","",_xlfn.XLOOKUP($I146,'Item Master'!$A$4:$A$53,'Item Master'!$F$4:$F$53,0))</f>
        <v/>
      </c>
      <c r="H146" s="50">
        <f>IF($I146="","",$K146*$G146)</f>
        <v/>
      </c>
      <c r="I146" s="51">
        <f>IF($D146="","",IF(COUNTIF('Item Master'!$A$4:$A$53,$D146)&gt;0,$D146,_xlfn.XLOOKUP($D146,'Item Master'!$B$4:$B$53,'Item Master'!$A$4:$A$53,"")))</f>
        <v/>
      </c>
      <c r="J146" s="51">
        <f>IF($I146="","",$C146&amp;"|"&amp;COUNTIFS($C$9:$C146,$C146,$I$9:$I146,"?*"))</f>
        <v/>
      </c>
      <c r="K146" s="52">
        <f>IF($I146="","",IF($F146="",1,$F146))</f>
        <v/>
      </c>
    </row>
    <row r="147" ht="32" customHeight="1">
      <c r="A147" s="46" t="n"/>
      <c r="B147" s="47" t="n"/>
      <c r="C147" s="48">
        <f>IF($D147="","",IF(OR($A147="x",ROW()=9),Settings!$C$14&amp;TEXT(1000+COUNTIF($A$9:$A147,"x")+IF($A$9&lt;&gt;"x",1,0),"0000"),$C146))</f>
        <v/>
      </c>
      <c r="D147" s="46" t="n"/>
      <c r="E147" s="31">
        <f>IF($D147="","",IF($I147="","⚠️ Unknown code",_xlfn.XLOOKUP($I147,'Item Master'!$A$4:$A$53,'Item Master'!$C$4:$C$53,"")))</f>
        <v/>
      </c>
      <c r="F147" s="49" t="n"/>
      <c r="G147" s="36">
        <f>IF($I147="","",_xlfn.XLOOKUP($I147,'Item Master'!$A$4:$A$53,'Item Master'!$F$4:$F$53,0))</f>
        <v/>
      </c>
      <c r="H147" s="50">
        <f>IF($I147="","",$K147*$G147)</f>
        <v/>
      </c>
      <c r="I147" s="51">
        <f>IF($D147="","",IF(COUNTIF('Item Master'!$A$4:$A$53,$D147)&gt;0,$D147,_xlfn.XLOOKUP($D147,'Item Master'!$B$4:$B$53,'Item Master'!$A$4:$A$53,"")))</f>
        <v/>
      </c>
      <c r="J147" s="51">
        <f>IF($I147="","",$C147&amp;"|"&amp;COUNTIFS($C$9:$C147,$C147,$I$9:$I147,"?*"))</f>
        <v/>
      </c>
      <c r="K147" s="52">
        <f>IF($I147="","",IF($F147="",1,$F147))</f>
        <v/>
      </c>
    </row>
    <row r="148" ht="32" customHeight="1">
      <c r="A148" s="46" t="n"/>
      <c r="B148" s="47" t="n"/>
      <c r="C148" s="48">
        <f>IF($D148="","",IF(OR($A148="x",ROW()=9),Settings!$C$14&amp;TEXT(1000+COUNTIF($A$9:$A148,"x")+IF($A$9&lt;&gt;"x",1,0),"0000"),$C147))</f>
        <v/>
      </c>
      <c r="D148" s="46" t="n"/>
      <c r="E148" s="31">
        <f>IF($D148="","",IF($I148="","⚠️ Unknown code",_xlfn.XLOOKUP($I148,'Item Master'!$A$4:$A$53,'Item Master'!$C$4:$C$53,"")))</f>
        <v/>
      </c>
      <c r="F148" s="49" t="n"/>
      <c r="G148" s="36">
        <f>IF($I148="","",_xlfn.XLOOKUP($I148,'Item Master'!$A$4:$A$53,'Item Master'!$F$4:$F$53,0))</f>
        <v/>
      </c>
      <c r="H148" s="50">
        <f>IF($I148="","",$K148*$G148)</f>
        <v/>
      </c>
      <c r="I148" s="51">
        <f>IF($D148="","",IF(COUNTIF('Item Master'!$A$4:$A$53,$D148)&gt;0,$D148,_xlfn.XLOOKUP($D148,'Item Master'!$B$4:$B$53,'Item Master'!$A$4:$A$53,"")))</f>
        <v/>
      </c>
      <c r="J148" s="51">
        <f>IF($I148="","",$C148&amp;"|"&amp;COUNTIFS($C$9:$C148,$C148,$I$9:$I148,"?*"))</f>
        <v/>
      </c>
      <c r="K148" s="52">
        <f>IF($I148="","",IF($F148="",1,$F148))</f>
        <v/>
      </c>
    </row>
    <row r="149" ht="32" customHeight="1">
      <c r="A149" s="46" t="n"/>
      <c r="B149" s="47" t="n"/>
      <c r="C149" s="48">
        <f>IF($D149="","",IF(OR($A149="x",ROW()=9),Settings!$C$14&amp;TEXT(1000+COUNTIF($A$9:$A149,"x")+IF($A$9&lt;&gt;"x",1,0),"0000"),$C148))</f>
        <v/>
      </c>
      <c r="D149" s="46" t="n"/>
      <c r="E149" s="31">
        <f>IF($D149="","",IF($I149="","⚠️ Unknown code",_xlfn.XLOOKUP($I149,'Item Master'!$A$4:$A$53,'Item Master'!$C$4:$C$53,"")))</f>
        <v/>
      </c>
      <c r="F149" s="49" t="n"/>
      <c r="G149" s="36">
        <f>IF($I149="","",_xlfn.XLOOKUP($I149,'Item Master'!$A$4:$A$53,'Item Master'!$F$4:$F$53,0))</f>
        <v/>
      </c>
      <c r="H149" s="50">
        <f>IF($I149="","",$K149*$G149)</f>
        <v/>
      </c>
      <c r="I149" s="51">
        <f>IF($D149="","",IF(COUNTIF('Item Master'!$A$4:$A$53,$D149)&gt;0,$D149,_xlfn.XLOOKUP($D149,'Item Master'!$B$4:$B$53,'Item Master'!$A$4:$A$53,"")))</f>
        <v/>
      </c>
      <c r="J149" s="51">
        <f>IF($I149="","",$C149&amp;"|"&amp;COUNTIFS($C$9:$C149,$C149,$I$9:$I149,"?*"))</f>
        <v/>
      </c>
      <c r="K149" s="52">
        <f>IF($I149="","",IF($F149="",1,$F149))</f>
        <v/>
      </c>
    </row>
    <row r="150" ht="32" customHeight="1">
      <c r="A150" s="46" t="n"/>
      <c r="B150" s="47" t="n"/>
      <c r="C150" s="48">
        <f>IF($D150="","",IF(OR($A150="x",ROW()=9),Settings!$C$14&amp;TEXT(1000+COUNTIF($A$9:$A150,"x")+IF($A$9&lt;&gt;"x",1,0),"0000"),$C149))</f>
        <v/>
      </c>
      <c r="D150" s="46" t="n"/>
      <c r="E150" s="31">
        <f>IF($D150="","",IF($I150="","⚠️ Unknown code",_xlfn.XLOOKUP($I150,'Item Master'!$A$4:$A$53,'Item Master'!$C$4:$C$53,"")))</f>
        <v/>
      </c>
      <c r="F150" s="49" t="n"/>
      <c r="G150" s="36">
        <f>IF($I150="","",_xlfn.XLOOKUP($I150,'Item Master'!$A$4:$A$53,'Item Master'!$F$4:$F$53,0))</f>
        <v/>
      </c>
      <c r="H150" s="50">
        <f>IF($I150="","",$K150*$G150)</f>
        <v/>
      </c>
      <c r="I150" s="51">
        <f>IF($D150="","",IF(COUNTIF('Item Master'!$A$4:$A$53,$D150)&gt;0,$D150,_xlfn.XLOOKUP($D150,'Item Master'!$B$4:$B$53,'Item Master'!$A$4:$A$53,"")))</f>
        <v/>
      </c>
      <c r="J150" s="51">
        <f>IF($I150="","",$C150&amp;"|"&amp;COUNTIFS($C$9:$C150,$C150,$I$9:$I150,"?*"))</f>
        <v/>
      </c>
      <c r="K150" s="52">
        <f>IF($I150="","",IF($F150="",1,$F150))</f>
        <v/>
      </c>
    </row>
    <row r="151" ht="32" customHeight="1">
      <c r="A151" s="46" t="n"/>
      <c r="B151" s="47" t="n"/>
      <c r="C151" s="48">
        <f>IF($D151="","",IF(OR($A151="x",ROW()=9),Settings!$C$14&amp;TEXT(1000+COUNTIF($A$9:$A151,"x")+IF($A$9&lt;&gt;"x",1,0),"0000"),$C150))</f>
        <v/>
      </c>
      <c r="D151" s="46" t="n"/>
      <c r="E151" s="31">
        <f>IF($D151="","",IF($I151="","⚠️ Unknown code",_xlfn.XLOOKUP($I151,'Item Master'!$A$4:$A$53,'Item Master'!$C$4:$C$53,"")))</f>
        <v/>
      </c>
      <c r="F151" s="49" t="n"/>
      <c r="G151" s="36">
        <f>IF($I151="","",_xlfn.XLOOKUP($I151,'Item Master'!$A$4:$A$53,'Item Master'!$F$4:$F$53,0))</f>
        <v/>
      </c>
      <c r="H151" s="50">
        <f>IF($I151="","",$K151*$G151)</f>
        <v/>
      </c>
      <c r="I151" s="51">
        <f>IF($D151="","",IF(COUNTIF('Item Master'!$A$4:$A$53,$D151)&gt;0,$D151,_xlfn.XLOOKUP($D151,'Item Master'!$B$4:$B$53,'Item Master'!$A$4:$A$53,"")))</f>
        <v/>
      </c>
      <c r="J151" s="51">
        <f>IF($I151="","",$C151&amp;"|"&amp;COUNTIFS($C$9:$C151,$C151,$I$9:$I151,"?*"))</f>
        <v/>
      </c>
      <c r="K151" s="52">
        <f>IF($I151="","",IF($F151="",1,$F151))</f>
        <v/>
      </c>
    </row>
    <row r="152" ht="32" customHeight="1">
      <c r="A152" s="46" t="n"/>
      <c r="B152" s="47" t="n"/>
      <c r="C152" s="48">
        <f>IF($D152="","",IF(OR($A152="x",ROW()=9),Settings!$C$14&amp;TEXT(1000+COUNTIF($A$9:$A152,"x")+IF($A$9&lt;&gt;"x",1,0),"0000"),$C151))</f>
        <v/>
      </c>
      <c r="D152" s="46" t="n"/>
      <c r="E152" s="31">
        <f>IF($D152="","",IF($I152="","⚠️ Unknown code",_xlfn.XLOOKUP($I152,'Item Master'!$A$4:$A$53,'Item Master'!$C$4:$C$53,"")))</f>
        <v/>
      </c>
      <c r="F152" s="49" t="n"/>
      <c r="G152" s="36">
        <f>IF($I152="","",_xlfn.XLOOKUP($I152,'Item Master'!$A$4:$A$53,'Item Master'!$F$4:$F$53,0))</f>
        <v/>
      </c>
      <c r="H152" s="50">
        <f>IF($I152="","",$K152*$G152)</f>
        <v/>
      </c>
      <c r="I152" s="51">
        <f>IF($D152="","",IF(COUNTIF('Item Master'!$A$4:$A$53,$D152)&gt;0,$D152,_xlfn.XLOOKUP($D152,'Item Master'!$B$4:$B$53,'Item Master'!$A$4:$A$53,"")))</f>
        <v/>
      </c>
      <c r="J152" s="51">
        <f>IF($I152="","",$C152&amp;"|"&amp;COUNTIFS($C$9:$C152,$C152,$I$9:$I152,"?*"))</f>
        <v/>
      </c>
      <c r="K152" s="52">
        <f>IF($I152="","",IF($F152="",1,$F152))</f>
        <v/>
      </c>
    </row>
    <row r="153" ht="32" customHeight="1">
      <c r="A153" s="46" t="n"/>
      <c r="B153" s="47" t="n"/>
      <c r="C153" s="48">
        <f>IF($D153="","",IF(OR($A153="x",ROW()=9),Settings!$C$14&amp;TEXT(1000+COUNTIF($A$9:$A153,"x")+IF($A$9&lt;&gt;"x",1,0),"0000"),$C152))</f>
        <v/>
      </c>
      <c r="D153" s="46" t="n"/>
      <c r="E153" s="31">
        <f>IF($D153="","",IF($I153="","⚠️ Unknown code",_xlfn.XLOOKUP($I153,'Item Master'!$A$4:$A$53,'Item Master'!$C$4:$C$53,"")))</f>
        <v/>
      </c>
      <c r="F153" s="49" t="n"/>
      <c r="G153" s="36">
        <f>IF($I153="","",_xlfn.XLOOKUP($I153,'Item Master'!$A$4:$A$53,'Item Master'!$F$4:$F$53,0))</f>
        <v/>
      </c>
      <c r="H153" s="50">
        <f>IF($I153="","",$K153*$G153)</f>
        <v/>
      </c>
      <c r="I153" s="51">
        <f>IF($D153="","",IF(COUNTIF('Item Master'!$A$4:$A$53,$D153)&gt;0,$D153,_xlfn.XLOOKUP($D153,'Item Master'!$B$4:$B$53,'Item Master'!$A$4:$A$53,"")))</f>
        <v/>
      </c>
      <c r="J153" s="51">
        <f>IF($I153="","",$C153&amp;"|"&amp;COUNTIFS($C$9:$C153,$C153,$I$9:$I153,"?*"))</f>
        <v/>
      </c>
      <c r="K153" s="52">
        <f>IF($I153="","",IF($F153="",1,$F153))</f>
        <v/>
      </c>
    </row>
    <row r="154" ht="32" customHeight="1">
      <c r="A154" s="46" t="n"/>
      <c r="B154" s="47" t="n"/>
      <c r="C154" s="48">
        <f>IF($D154="","",IF(OR($A154="x",ROW()=9),Settings!$C$14&amp;TEXT(1000+COUNTIF($A$9:$A154,"x")+IF($A$9&lt;&gt;"x",1,0),"0000"),$C153))</f>
        <v/>
      </c>
      <c r="D154" s="46" t="n"/>
      <c r="E154" s="31">
        <f>IF($D154="","",IF($I154="","⚠️ Unknown code",_xlfn.XLOOKUP($I154,'Item Master'!$A$4:$A$53,'Item Master'!$C$4:$C$53,"")))</f>
        <v/>
      </c>
      <c r="F154" s="49" t="n"/>
      <c r="G154" s="36">
        <f>IF($I154="","",_xlfn.XLOOKUP($I154,'Item Master'!$A$4:$A$53,'Item Master'!$F$4:$F$53,0))</f>
        <v/>
      </c>
      <c r="H154" s="50">
        <f>IF($I154="","",$K154*$G154)</f>
        <v/>
      </c>
      <c r="I154" s="51">
        <f>IF($D154="","",IF(COUNTIF('Item Master'!$A$4:$A$53,$D154)&gt;0,$D154,_xlfn.XLOOKUP($D154,'Item Master'!$B$4:$B$53,'Item Master'!$A$4:$A$53,"")))</f>
        <v/>
      </c>
      <c r="J154" s="51">
        <f>IF($I154="","",$C154&amp;"|"&amp;COUNTIFS($C$9:$C154,$C154,$I$9:$I154,"?*"))</f>
        <v/>
      </c>
      <c r="K154" s="52">
        <f>IF($I154="","",IF($F154="",1,$F154))</f>
        <v/>
      </c>
    </row>
    <row r="155" ht="32" customHeight="1">
      <c r="A155" s="46" t="n"/>
      <c r="B155" s="47" t="n"/>
      <c r="C155" s="48">
        <f>IF($D155="","",IF(OR($A155="x",ROW()=9),Settings!$C$14&amp;TEXT(1000+COUNTIF($A$9:$A155,"x")+IF($A$9&lt;&gt;"x",1,0),"0000"),$C154))</f>
        <v/>
      </c>
      <c r="D155" s="46" t="n"/>
      <c r="E155" s="31">
        <f>IF($D155="","",IF($I155="","⚠️ Unknown code",_xlfn.XLOOKUP($I155,'Item Master'!$A$4:$A$53,'Item Master'!$C$4:$C$53,"")))</f>
        <v/>
      </c>
      <c r="F155" s="49" t="n"/>
      <c r="G155" s="36">
        <f>IF($I155="","",_xlfn.XLOOKUP($I155,'Item Master'!$A$4:$A$53,'Item Master'!$F$4:$F$53,0))</f>
        <v/>
      </c>
      <c r="H155" s="50">
        <f>IF($I155="","",$K155*$G155)</f>
        <v/>
      </c>
      <c r="I155" s="51">
        <f>IF($D155="","",IF(COUNTIF('Item Master'!$A$4:$A$53,$D155)&gt;0,$D155,_xlfn.XLOOKUP($D155,'Item Master'!$B$4:$B$53,'Item Master'!$A$4:$A$53,"")))</f>
        <v/>
      </c>
      <c r="J155" s="51">
        <f>IF($I155="","",$C155&amp;"|"&amp;COUNTIFS($C$9:$C155,$C155,$I$9:$I155,"?*"))</f>
        <v/>
      </c>
      <c r="K155" s="52">
        <f>IF($I155="","",IF($F155="",1,$F155))</f>
        <v/>
      </c>
    </row>
    <row r="156" ht="32" customHeight="1">
      <c r="A156" s="46" t="n"/>
      <c r="B156" s="47" t="n"/>
      <c r="C156" s="48">
        <f>IF($D156="","",IF(OR($A156="x",ROW()=9),Settings!$C$14&amp;TEXT(1000+COUNTIF($A$9:$A156,"x")+IF($A$9&lt;&gt;"x",1,0),"0000"),$C155))</f>
        <v/>
      </c>
      <c r="D156" s="46" t="n"/>
      <c r="E156" s="31">
        <f>IF($D156="","",IF($I156="","⚠️ Unknown code",_xlfn.XLOOKUP($I156,'Item Master'!$A$4:$A$53,'Item Master'!$C$4:$C$53,"")))</f>
        <v/>
      </c>
      <c r="F156" s="49" t="n"/>
      <c r="G156" s="36">
        <f>IF($I156="","",_xlfn.XLOOKUP($I156,'Item Master'!$A$4:$A$53,'Item Master'!$F$4:$F$53,0))</f>
        <v/>
      </c>
      <c r="H156" s="50">
        <f>IF($I156="","",$K156*$G156)</f>
        <v/>
      </c>
      <c r="I156" s="51">
        <f>IF($D156="","",IF(COUNTIF('Item Master'!$A$4:$A$53,$D156)&gt;0,$D156,_xlfn.XLOOKUP($D156,'Item Master'!$B$4:$B$53,'Item Master'!$A$4:$A$53,"")))</f>
        <v/>
      </c>
      <c r="J156" s="51">
        <f>IF($I156="","",$C156&amp;"|"&amp;COUNTIFS($C$9:$C156,$C156,$I$9:$I156,"?*"))</f>
        <v/>
      </c>
      <c r="K156" s="52">
        <f>IF($I156="","",IF($F156="",1,$F156))</f>
        <v/>
      </c>
    </row>
    <row r="157" ht="32" customHeight="1">
      <c r="A157" s="46" t="n"/>
      <c r="B157" s="47" t="n"/>
      <c r="C157" s="48">
        <f>IF($D157="","",IF(OR($A157="x",ROW()=9),Settings!$C$14&amp;TEXT(1000+COUNTIF($A$9:$A157,"x")+IF($A$9&lt;&gt;"x",1,0),"0000"),$C156))</f>
        <v/>
      </c>
      <c r="D157" s="46" t="n"/>
      <c r="E157" s="31">
        <f>IF($D157="","",IF($I157="","⚠️ Unknown code",_xlfn.XLOOKUP($I157,'Item Master'!$A$4:$A$53,'Item Master'!$C$4:$C$53,"")))</f>
        <v/>
      </c>
      <c r="F157" s="49" t="n"/>
      <c r="G157" s="36">
        <f>IF($I157="","",_xlfn.XLOOKUP($I157,'Item Master'!$A$4:$A$53,'Item Master'!$F$4:$F$53,0))</f>
        <v/>
      </c>
      <c r="H157" s="50">
        <f>IF($I157="","",$K157*$G157)</f>
        <v/>
      </c>
      <c r="I157" s="51">
        <f>IF($D157="","",IF(COUNTIF('Item Master'!$A$4:$A$53,$D157)&gt;0,$D157,_xlfn.XLOOKUP($D157,'Item Master'!$B$4:$B$53,'Item Master'!$A$4:$A$53,"")))</f>
        <v/>
      </c>
      <c r="J157" s="51">
        <f>IF($I157="","",$C157&amp;"|"&amp;COUNTIFS($C$9:$C157,$C157,$I$9:$I157,"?*"))</f>
        <v/>
      </c>
      <c r="K157" s="52">
        <f>IF($I157="","",IF($F157="",1,$F157))</f>
        <v/>
      </c>
    </row>
    <row r="158" ht="32" customHeight="1">
      <c r="A158" s="46" t="n"/>
      <c r="B158" s="47" t="n"/>
      <c r="C158" s="48">
        <f>IF($D158="","",IF(OR($A158="x",ROW()=9),Settings!$C$14&amp;TEXT(1000+COUNTIF($A$9:$A158,"x")+IF($A$9&lt;&gt;"x",1,0),"0000"),$C157))</f>
        <v/>
      </c>
      <c r="D158" s="46" t="n"/>
      <c r="E158" s="31">
        <f>IF($D158="","",IF($I158="","⚠️ Unknown code",_xlfn.XLOOKUP($I158,'Item Master'!$A$4:$A$53,'Item Master'!$C$4:$C$53,"")))</f>
        <v/>
      </c>
      <c r="F158" s="49" t="n"/>
      <c r="G158" s="36">
        <f>IF($I158="","",_xlfn.XLOOKUP($I158,'Item Master'!$A$4:$A$53,'Item Master'!$F$4:$F$53,0))</f>
        <v/>
      </c>
      <c r="H158" s="50">
        <f>IF($I158="","",$K158*$G158)</f>
        <v/>
      </c>
      <c r="I158" s="51">
        <f>IF($D158="","",IF(COUNTIF('Item Master'!$A$4:$A$53,$D158)&gt;0,$D158,_xlfn.XLOOKUP($D158,'Item Master'!$B$4:$B$53,'Item Master'!$A$4:$A$53,"")))</f>
        <v/>
      </c>
      <c r="J158" s="51">
        <f>IF($I158="","",$C158&amp;"|"&amp;COUNTIFS($C$9:$C158,$C158,$I$9:$I158,"?*"))</f>
        <v/>
      </c>
      <c r="K158" s="52">
        <f>IF($I158="","",IF($F158="",1,$F158))</f>
        <v/>
      </c>
    </row>
    <row r="159" ht="32" customHeight="1">
      <c r="A159" s="46" t="n"/>
      <c r="B159" s="47" t="n"/>
      <c r="C159" s="48">
        <f>IF($D159="","",IF(OR($A159="x",ROW()=9),Settings!$C$14&amp;TEXT(1000+COUNTIF($A$9:$A159,"x")+IF($A$9&lt;&gt;"x",1,0),"0000"),$C158))</f>
        <v/>
      </c>
      <c r="D159" s="46" t="n"/>
      <c r="E159" s="31">
        <f>IF($D159="","",IF($I159="","⚠️ Unknown code",_xlfn.XLOOKUP($I159,'Item Master'!$A$4:$A$53,'Item Master'!$C$4:$C$53,"")))</f>
        <v/>
      </c>
      <c r="F159" s="49" t="n"/>
      <c r="G159" s="36">
        <f>IF($I159="","",_xlfn.XLOOKUP($I159,'Item Master'!$A$4:$A$53,'Item Master'!$F$4:$F$53,0))</f>
        <v/>
      </c>
      <c r="H159" s="50">
        <f>IF($I159="","",$K159*$G159)</f>
        <v/>
      </c>
      <c r="I159" s="51">
        <f>IF($D159="","",IF(COUNTIF('Item Master'!$A$4:$A$53,$D159)&gt;0,$D159,_xlfn.XLOOKUP($D159,'Item Master'!$B$4:$B$53,'Item Master'!$A$4:$A$53,"")))</f>
        <v/>
      </c>
      <c r="J159" s="51">
        <f>IF($I159="","",$C159&amp;"|"&amp;COUNTIFS($C$9:$C159,$C159,$I$9:$I159,"?*"))</f>
        <v/>
      </c>
      <c r="K159" s="52">
        <f>IF($I159="","",IF($F159="",1,$F159))</f>
        <v/>
      </c>
    </row>
    <row r="160" ht="32" customHeight="1">
      <c r="A160" s="46" t="n"/>
      <c r="B160" s="47" t="n"/>
      <c r="C160" s="48">
        <f>IF($D160="","",IF(OR($A160="x",ROW()=9),Settings!$C$14&amp;TEXT(1000+COUNTIF($A$9:$A160,"x")+IF($A$9&lt;&gt;"x",1,0),"0000"),$C159))</f>
        <v/>
      </c>
      <c r="D160" s="46" t="n"/>
      <c r="E160" s="31">
        <f>IF($D160="","",IF($I160="","⚠️ Unknown code",_xlfn.XLOOKUP($I160,'Item Master'!$A$4:$A$53,'Item Master'!$C$4:$C$53,"")))</f>
        <v/>
      </c>
      <c r="F160" s="49" t="n"/>
      <c r="G160" s="36">
        <f>IF($I160="","",_xlfn.XLOOKUP($I160,'Item Master'!$A$4:$A$53,'Item Master'!$F$4:$F$53,0))</f>
        <v/>
      </c>
      <c r="H160" s="50">
        <f>IF($I160="","",$K160*$G160)</f>
        <v/>
      </c>
      <c r="I160" s="51">
        <f>IF($D160="","",IF(COUNTIF('Item Master'!$A$4:$A$53,$D160)&gt;0,$D160,_xlfn.XLOOKUP($D160,'Item Master'!$B$4:$B$53,'Item Master'!$A$4:$A$53,"")))</f>
        <v/>
      </c>
      <c r="J160" s="51">
        <f>IF($I160="","",$C160&amp;"|"&amp;COUNTIFS($C$9:$C160,$C160,$I$9:$I160,"?*"))</f>
        <v/>
      </c>
      <c r="K160" s="52">
        <f>IF($I160="","",IF($F160="",1,$F160))</f>
        <v/>
      </c>
    </row>
    <row r="161" ht="32" customHeight="1">
      <c r="A161" s="46" t="n"/>
      <c r="B161" s="47" t="n"/>
      <c r="C161" s="48">
        <f>IF($D161="","",IF(OR($A161="x",ROW()=9),Settings!$C$14&amp;TEXT(1000+COUNTIF($A$9:$A161,"x")+IF($A$9&lt;&gt;"x",1,0),"0000"),$C160))</f>
        <v/>
      </c>
      <c r="D161" s="46" t="n"/>
      <c r="E161" s="31">
        <f>IF($D161="","",IF($I161="","⚠️ Unknown code",_xlfn.XLOOKUP($I161,'Item Master'!$A$4:$A$53,'Item Master'!$C$4:$C$53,"")))</f>
        <v/>
      </c>
      <c r="F161" s="49" t="n"/>
      <c r="G161" s="36">
        <f>IF($I161="","",_xlfn.XLOOKUP($I161,'Item Master'!$A$4:$A$53,'Item Master'!$F$4:$F$53,0))</f>
        <v/>
      </c>
      <c r="H161" s="50">
        <f>IF($I161="","",$K161*$G161)</f>
        <v/>
      </c>
      <c r="I161" s="51">
        <f>IF($D161="","",IF(COUNTIF('Item Master'!$A$4:$A$53,$D161)&gt;0,$D161,_xlfn.XLOOKUP($D161,'Item Master'!$B$4:$B$53,'Item Master'!$A$4:$A$53,"")))</f>
        <v/>
      </c>
      <c r="J161" s="51">
        <f>IF($I161="","",$C161&amp;"|"&amp;COUNTIFS($C$9:$C161,$C161,$I$9:$I161,"?*"))</f>
        <v/>
      </c>
      <c r="K161" s="52">
        <f>IF($I161="","",IF($F161="",1,$F161))</f>
        <v/>
      </c>
    </row>
    <row r="162" ht="32" customHeight="1">
      <c r="A162" s="46" t="n"/>
      <c r="B162" s="47" t="n"/>
      <c r="C162" s="48">
        <f>IF($D162="","",IF(OR($A162="x",ROW()=9),Settings!$C$14&amp;TEXT(1000+COUNTIF($A$9:$A162,"x")+IF($A$9&lt;&gt;"x",1,0),"0000"),$C161))</f>
        <v/>
      </c>
      <c r="D162" s="46" t="n"/>
      <c r="E162" s="31">
        <f>IF($D162="","",IF($I162="","⚠️ Unknown code",_xlfn.XLOOKUP($I162,'Item Master'!$A$4:$A$53,'Item Master'!$C$4:$C$53,"")))</f>
        <v/>
      </c>
      <c r="F162" s="49" t="n"/>
      <c r="G162" s="36">
        <f>IF($I162="","",_xlfn.XLOOKUP($I162,'Item Master'!$A$4:$A$53,'Item Master'!$F$4:$F$53,0))</f>
        <v/>
      </c>
      <c r="H162" s="50">
        <f>IF($I162="","",$K162*$G162)</f>
        <v/>
      </c>
      <c r="I162" s="51">
        <f>IF($D162="","",IF(COUNTIF('Item Master'!$A$4:$A$53,$D162)&gt;0,$D162,_xlfn.XLOOKUP($D162,'Item Master'!$B$4:$B$53,'Item Master'!$A$4:$A$53,"")))</f>
        <v/>
      </c>
      <c r="J162" s="51">
        <f>IF($I162="","",$C162&amp;"|"&amp;COUNTIFS($C$9:$C162,$C162,$I$9:$I162,"?*"))</f>
        <v/>
      </c>
      <c r="K162" s="52">
        <f>IF($I162="","",IF($F162="",1,$F162))</f>
        <v/>
      </c>
    </row>
    <row r="163" ht="32" customHeight="1">
      <c r="A163" s="46" t="n"/>
      <c r="B163" s="47" t="n"/>
      <c r="C163" s="48">
        <f>IF($D163="","",IF(OR($A163="x",ROW()=9),Settings!$C$14&amp;TEXT(1000+COUNTIF($A$9:$A163,"x")+IF($A$9&lt;&gt;"x",1,0),"0000"),$C162))</f>
        <v/>
      </c>
      <c r="D163" s="46" t="n"/>
      <c r="E163" s="31">
        <f>IF($D163="","",IF($I163="","⚠️ Unknown code",_xlfn.XLOOKUP($I163,'Item Master'!$A$4:$A$53,'Item Master'!$C$4:$C$53,"")))</f>
        <v/>
      </c>
      <c r="F163" s="49" t="n"/>
      <c r="G163" s="36">
        <f>IF($I163="","",_xlfn.XLOOKUP($I163,'Item Master'!$A$4:$A$53,'Item Master'!$F$4:$F$53,0))</f>
        <v/>
      </c>
      <c r="H163" s="50">
        <f>IF($I163="","",$K163*$G163)</f>
        <v/>
      </c>
      <c r="I163" s="51">
        <f>IF($D163="","",IF(COUNTIF('Item Master'!$A$4:$A$53,$D163)&gt;0,$D163,_xlfn.XLOOKUP($D163,'Item Master'!$B$4:$B$53,'Item Master'!$A$4:$A$53,"")))</f>
        <v/>
      </c>
      <c r="J163" s="51">
        <f>IF($I163="","",$C163&amp;"|"&amp;COUNTIFS($C$9:$C163,$C163,$I$9:$I163,"?*"))</f>
        <v/>
      </c>
      <c r="K163" s="52">
        <f>IF($I163="","",IF($F163="",1,$F163))</f>
        <v/>
      </c>
    </row>
    <row r="164" ht="32" customHeight="1">
      <c r="A164" s="46" t="n"/>
      <c r="B164" s="47" t="n"/>
      <c r="C164" s="48">
        <f>IF($D164="","",IF(OR($A164="x",ROW()=9),Settings!$C$14&amp;TEXT(1000+COUNTIF($A$9:$A164,"x")+IF($A$9&lt;&gt;"x",1,0),"0000"),$C163))</f>
        <v/>
      </c>
      <c r="D164" s="46" t="n"/>
      <c r="E164" s="31">
        <f>IF($D164="","",IF($I164="","⚠️ Unknown code",_xlfn.XLOOKUP($I164,'Item Master'!$A$4:$A$53,'Item Master'!$C$4:$C$53,"")))</f>
        <v/>
      </c>
      <c r="F164" s="49" t="n"/>
      <c r="G164" s="36">
        <f>IF($I164="","",_xlfn.XLOOKUP($I164,'Item Master'!$A$4:$A$53,'Item Master'!$F$4:$F$53,0))</f>
        <v/>
      </c>
      <c r="H164" s="50">
        <f>IF($I164="","",$K164*$G164)</f>
        <v/>
      </c>
      <c r="I164" s="51">
        <f>IF($D164="","",IF(COUNTIF('Item Master'!$A$4:$A$53,$D164)&gt;0,$D164,_xlfn.XLOOKUP($D164,'Item Master'!$B$4:$B$53,'Item Master'!$A$4:$A$53,"")))</f>
        <v/>
      </c>
      <c r="J164" s="51">
        <f>IF($I164="","",$C164&amp;"|"&amp;COUNTIFS($C$9:$C164,$C164,$I$9:$I164,"?*"))</f>
        <v/>
      </c>
      <c r="K164" s="52">
        <f>IF($I164="","",IF($F164="",1,$F164))</f>
        <v/>
      </c>
    </row>
    <row r="165" ht="32" customHeight="1">
      <c r="A165" s="46" t="n"/>
      <c r="B165" s="47" t="n"/>
      <c r="C165" s="48">
        <f>IF($D165="","",IF(OR($A165="x",ROW()=9),Settings!$C$14&amp;TEXT(1000+COUNTIF($A$9:$A165,"x")+IF($A$9&lt;&gt;"x",1,0),"0000"),$C164))</f>
        <v/>
      </c>
      <c r="D165" s="46" t="n"/>
      <c r="E165" s="31">
        <f>IF($D165="","",IF($I165="","⚠️ Unknown code",_xlfn.XLOOKUP($I165,'Item Master'!$A$4:$A$53,'Item Master'!$C$4:$C$53,"")))</f>
        <v/>
      </c>
      <c r="F165" s="49" t="n"/>
      <c r="G165" s="36">
        <f>IF($I165="","",_xlfn.XLOOKUP($I165,'Item Master'!$A$4:$A$53,'Item Master'!$F$4:$F$53,0))</f>
        <v/>
      </c>
      <c r="H165" s="50">
        <f>IF($I165="","",$K165*$G165)</f>
        <v/>
      </c>
      <c r="I165" s="51">
        <f>IF($D165="","",IF(COUNTIF('Item Master'!$A$4:$A$53,$D165)&gt;0,$D165,_xlfn.XLOOKUP($D165,'Item Master'!$B$4:$B$53,'Item Master'!$A$4:$A$53,"")))</f>
        <v/>
      </c>
      <c r="J165" s="51">
        <f>IF($I165="","",$C165&amp;"|"&amp;COUNTIFS($C$9:$C165,$C165,$I$9:$I165,"?*"))</f>
        <v/>
      </c>
      <c r="K165" s="52">
        <f>IF($I165="","",IF($F165="",1,$F165))</f>
        <v/>
      </c>
    </row>
    <row r="166" ht="32" customHeight="1">
      <c r="A166" s="46" t="n"/>
      <c r="B166" s="47" t="n"/>
      <c r="C166" s="48">
        <f>IF($D166="","",IF(OR($A166="x",ROW()=9),Settings!$C$14&amp;TEXT(1000+COUNTIF($A$9:$A166,"x")+IF($A$9&lt;&gt;"x",1,0),"0000"),$C165))</f>
        <v/>
      </c>
      <c r="D166" s="46" t="n"/>
      <c r="E166" s="31">
        <f>IF($D166="","",IF($I166="","⚠️ Unknown code",_xlfn.XLOOKUP($I166,'Item Master'!$A$4:$A$53,'Item Master'!$C$4:$C$53,"")))</f>
        <v/>
      </c>
      <c r="F166" s="49" t="n"/>
      <c r="G166" s="36">
        <f>IF($I166="","",_xlfn.XLOOKUP($I166,'Item Master'!$A$4:$A$53,'Item Master'!$F$4:$F$53,0))</f>
        <v/>
      </c>
      <c r="H166" s="50">
        <f>IF($I166="","",$K166*$G166)</f>
        <v/>
      </c>
      <c r="I166" s="51">
        <f>IF($D166="","",IF(COUNTIF('Item Master'!$A$4:$A$53,$D166)&gt;0,$D166,_xlfn.XLOOKUP($D166,'Item Master'!$B$4:$B$53,'Item Master'!$A$4:$A$53,"")))</f>
        <v/>
      </c>
      <c r="J166" s="51">
        <f>IF($I166="","",$C166&amp;"|"&amp;COUNTIFS($C$9:$C166,$C166,$I$9:$I166,"?*"))</f>
        <v/>
      </c>
      <c r="K166" s="52">
        <f>IF($I166="","",IF($F166="",1,$F166))</f>
        <v/>
      </c>
    </row>
    <row r="167" ht="32" customHeight="1">
      <c r="A167" s="46" t="n"/>
      <c r="B167" s="47" t="n"/>
      <c r="C167" s="48">
        <f>IF($D167="","",IF(OR($A167="x",ROW()=9),Settings!$C$14&amp;TEXT(1000+COUNTIF($A$9:$A167,"x")+IF($A$9&lt;&gt;"x",1,0),"0000"),$C166))</f>
        <v/>
      </c>
      <c r="D167" s="46" t="n"/>
      <c r="E167" s="31">
        <f>IF($D167="","",IF($I167="","⚠️ Unknown code",_xlfn.XLOOKUP($I167,'Item Master'!$A$4:$A$53,'Item Master'!$C$4:$C$53,"")))</f>
        <v/>
      </c>
      <c r="F167" s="49" t="n"/>
      <c r="G167" s="36">
        <f>IF($I167="","",_xlfn.XLOOKUP($I167,'Item Master'!$A$4:$A$53,'Item Master'!$F$4:$F$53,0))</f>
        <v/>
      </c>
      <c r="H167" s="50">
        <f>IF($I167="","",$K167*$G167)</f>
        <v/>
      </c>
      <c r="I167" s="51">
        <f>IF($D167="","",IF(COUNTIF('Item Master'!$A$4:$A$53,$D167)&gt;0,$D167,_xlfn.XLOOKUP($D167,'Item Master'!$B$4:$B$53,'Item Master'!$A$4:$A$53,"")))</f>
        <v/>
      </c>
      <c r="J167" s="51">
        <f>IF($I167="","",$C167&amp;"|"&amp;COUNTIFS($C$9:$C167,$C167,$I$9:$I167,"?*"))</f>
        <v/>
      </c>
      <c r="K167" s="52">
        <f>IF($I167="","",IF($F167="",1,$F167))</f>
        <v/>
      </c>
    </row>
    <row r="168" ht="32" customHeight="1">
      <c r="A168" s="46" t="n"/>
      <c r="B168" s="47" t="n"/>
      <c r="C168" s="48">
        <f>IF($D168="","",IF(OR($A168="x",ROW()=9),Settings!$C$14&amp;TEXT(1000+COUNTIF($A$9:$A168,"x")+IF($A$9&lt;&gt;"x",1,0),"0000"),$C167))</f>
        <v/>
      </c>
      <c r="D168" s="46" t="n"/>
      <c r="E168" s="31">
        <f>IF($D168="","",IF($I168="","⚠️ Unknown code",_xlfn.XLOOKUP($I168,'Item Master'!$A$4:$A$53,'Item Master'!$C$4:$C$53,"")))</f>
        <v/>
      </c>
      <c r="F168" s="49" t="n"/>
      <c r="G168" s="36">
        <f>IF($I168="","",_xlfn.XLOOKUP($I168,'Item Master'!$A$4:$A$53,'Item Master'!$F$4:$F$53,0))</f>
        <v/>
      </c>
      <c r="H168" s="50">
        <f>IF($I168="","",$K168*$G168)</f>
        <v/>
      </c>
      <c r="I168" s="51">
        <f>IF($D168="","",IF(COUNTIF('Item Master'!$A$4:$A$53,$D168)&gt;0,$D168,_xlfn.XLOOKUP($D168,'Item Master'!$B$4:$B$53,'Item Master'!$A$4:$A$53,"")))</f>
        <v/>
      </c>
      <c r="J168" s="51">
        <f>IF($I168="","",$C168&amp;"|"&amp;COUNTIFS($C$9:$C168,$C168,$I$9:$I168,"?*"))</f>
        <v/>
      </c>
      <c r="K168" s="52">
        <f>IF($I168="","",IF($F168="",1,$F168))</f>
        <v/>
      </c>
    </row>
    <row r="169" ht="32" customHeight="1">
      <c r="A169" s="46" t="n"/>
      <c r="B169" s="47" t="n"/>
      <c r="C169" s="48">
        <f>IF($D169="","",IF(OR($A169="x",ROW()=9),Settings!$C$14&amp;TEXT(1000+COUNTIF($A$9:$A169,"x")+IF($A$9&lt;&gt;"x",1,0),"0000"),$C168))</f>
        <v/>
      </c>
      <c r="D169" s="46" t="n"/>
      <c r="E169" s="31">
        <f>IF($D169="","",IF($I169="","⚠️ Unknown code",_xlfn.XLOOKUP($I169,'Item Master'!$A$4:$A$53,'Item Master'!$C$4:$C$53,"")))</f>
        <v/>
      </c>
      <c r="F169" s="49" t="n"/>
      <c r="G169" s="36">
        <f>IF($I169="","",_xlfn.XLOOKUP($I169,'Item Master'!$A$4:$A$53,'Item Master'!$F$4:$F$53,0))</f>
        <v/>
      </c>
      <c r="H169" s="50">
        <f>IF($I169="","",$K169*$G169)</f>
        <v/>
      </c>
      <c r="I169" s="51">
        <f>IF($D169="","",IF(COUNTIF('Item Master'!$A$4:$A$53,$D169)&gt;0,$D169,_xlfn.XLOOKUP($D169,'Item Master'!$B$4:$B$53,'Item Master'!$A$4:$A$53,"")))</f>
        <v/>
      </c>
      <c r="J169" s="51">
        <f>IF($I169="","",$C169&amp;"|"&amp;COUNTIFS($C$9:$C169,$C169,$I$9:$I169,"?*"))</f>
        <v/>
      </c>
      <c r="K169" s="52">
        <f>IF($I169="","",IF($F169="",1,$F169))</f>
        <v/>
      </c>
    </row>
    <row r="170" ht="32" customHeight="1">
      <c r="A170" s="46" t="n"/>
      <c r="B170" s="47" t="n"/>
      <c r="C170" s="48">
        <f>IF($D170="","",IF(OR($A170="x",ROW()=9),Settings!$C$14&amp;TEXT(1000+COUNTIF($A$9:$A170,"x")+IF($A$9&lt;&gt;"x",1,0),"0000"),$C169))</f>
        <v/>
      </c>
      <c r="D170" s="46" t="n"/>
      <c r="E170" s="31">
        <f>IF($D170="","",IF($I170="","⚠️ Unknown code",_xlfn.XLOOKUP($I170,'Item Master'!$A$4:$A$53,'Item Master'!$C$4:$C$53,"")))</f>
        <v/>
      </c>
      <c r="F170" s="49" t="n"/>
      <c r="G170" s="36">
        <f>IF($I170="","",_xlfn.XLOOKUP($I170,'Item Master'!$A$4:$A$53,'Item Master'!$F$4:$F$53,0))</f>
        <v/>
      </c>
      <c r="H170" s="50">
        <f>IF($I170="","",$K170*$G170)</f>
        <v/>
      </c>
      <c r="I170" s="51">
        <f>IF($D170="","",IF(COUNTIF('Item Master'!$A$4:$A$53,$D170)&gt;0,$D170,_xlfn.XLOOKUP($D170,'Item Master'!$B$4:$B$53,'Item Master'!$A$4:$A$53,"")))</f>
        <v/>
      </c>
      <c r="J170" s="51">
        <f>IF($I170="","",$C170&amp;"|"&amp;COUNTIFS($C$9:$C170,$C170,$I$9:$I170,"?*"))</f>
        <v/>
      </c>
      <c r="K170" s="52">
        <f>IF($I170="","",IF($F170="",1,$F170))</f>
        <v/>
      </c>
    </row>
    <row r="171" ht="32" customHeight="1">
      <c r="A171" s="46" t="n"/>
      <c r="B171" s="47" t="n"/>
      <c r="C171" s="48">
        <f>IF($D171="","",IF(OR($A171="x",ROW()=9),Settings!$C$14&amp;TEXT(1000+COUNTIF($A$9:$A171,"x")+IF($A$9&lt;&gt;"x",1,0),"0000"),$C170))</f>
        <v/>
      </c>
      <c r="D171" s="46" t="n"/>
      <c r="E171" s="31">
        <f>IF($D171="","",IF($I171="","⚠️ Unknown code",_xlfn.XLOOKUP($I171,'Item Master'!$A$4:$A$53,'Item Master'!$C$4:$C$53,"")))</f>
        <v/>
      </c>
      <c r="F171" s="49" t="n"/>
      <c r="G171" s="36">
        <f>IF($I171="","",_xlfn.XLOOKUP($I171,'Item Master'!$A$4:$A$53,'Item Master'!$F$4:$F$53,0))</f>
        <v/>
      </c>
      <c r="H171" s="50">
        <f>IF($I171="","",$K171*$G171)</f>
        <v/>
      </c>
      <c r="I171" s="51">
        <f>IF($D171="","",IF(COUNTIF('Item Master'!$A$4:$A$53,$D171)&gt;0,$D171,_xlfn.XLOOKUP($D171,'Item Master'!$B$4:$B$53,'Item Master'!$A$4:$A$53,"")))</f>
        <v/>
      </c>
      <c r="J171" s="51">
        <f>IF($I171="","",$C171&amp;"|"&amp;COUNTIFS($C$9:$C171,$C171,$I$9:$I171,"?*"))</f>
        <v/>
      </c>
      <c r="K171" s="52">
        <f>IF($I171="","",IF($F171="",1,$F171))</f>
        <v/>
      </c>
    </row>
    <row r="172" ht="32" customHeight="1">
      <c r="A172" s="46" t="n"/>
      <c r="B172" s="47" t="n"/>
      <c r="C172" s="48">
        <f>IF($D172="","",IF(OR($A172="x",ROW()=9),Settings!$C$14&amp;TEXT(1000+COUNTIF($A$9:$A172,"x")+IF($A$9&lt;&gt;"x",1,0),"0000"),$C171))</f>
        <v/>
      </c>
      <c r="D172" s="46" t="n"/>
      <c r="E172" s="31">
        <f>IF($D172="","",IF($I172="","⚠️ Unknown code",_xlfn.XLOOKUP($I172,'Item Master'!$A$4:$A$53,'Item Master'!$C$4:$C$53,"")))</f>
        <v/>
      </c>
      <c r="F172" s="49" t="n"/>
      <c r="G172" s="36">
        <f>IF($I172="","",_xlfn.XLOOKUP($I172,'Item Master'!$A$4:$A$53,'Item Master'!$F$4:$F$53,0))</f>
        <v/>
      </c>
      <c r="H172" s="50">
        <f>IF($I172="","",$K172*$G172)</f>
        <v/>
      </c>
      <c r="I172" s="51">
        <f>IF($D172="","",IF(COUNTIF('Item Master'!$A$4:$A$53,$D172)&gt;0,$D172,_xlfn.XLOOKUP($D172,'Item Master'!$B$4:$B$53,'Item Master'!$A$4:$A$53,"")))</f>
        <v/>
      </c>
      <c r="J172" s="51">
        <f>IF($I172="","",$C172&amp;"|"&amp;COUNTIFS($C$9:$C172,$C172,$I$9:$I172,"?*"))</f>
        <v/>
      </c>
      <c r="K172" s="52">
        <f>IF($I172="","",IF($F172="",1,$F172))</f>
        <v/>
      </c>
    </row>
    <row r="173" ht="32" customHeight="1">
      <c r="A173" s="46" t="n"/>
      <c r="B173" s="47" t="n"/>
      <c r="C173" s="48">
        <f>IF($D173="","",IF(OR($A173="x",ROW()=9),Settings!$C$14&amp;TEXT(1000+COUNTIF($A$9:$A173,"x")+IF($A$9&lt;&gt;"x",1,0),"0000"),$C172))</f>
        <v/>
      </c>
      <c r="D173" s="46" t="n"/>
      <c r="E173" s="31">
        <f>IF($D173="","",IF($I173="","⚠️ Unknown code",_xlfn.XLOOKUP($I173,'Item Master'!$A$4:$A$53,'Item Master'!$C$4:$C$53,"")))</f>
        <v/>
      </c>
      <c r="F173" s="49" t="n"/>
      <c r="G173" s="36">
        <f>IF($I173="","",_xlfn.XLOOKUP($I173,'Item Master'!$A$4:$A$53,'Item Master'!$F$4:$F$53,0))</f>
        <v/>
      </c>
      <c r="H173" s="50">
        <f>IF($I173="","",$K173*$G173)</f>
        <v/>
      </c>
      <c r="I173" s="51">
        <f>IF($D173="","",IF(COUNTIF('Item Master'!$A$4:$A$53,$D173)&gt;0,$D173,_xlfn.XLOOKUP($D173,'Item Master'!$B$4:$B$53,'Item Master'!$A$4:$A$53,"")))</f>
        <v/>
      </c>
      <c r="J173" s="51">
        <f>IF($I173="","",$C173&amp;"|"&amp;COUNTIFS($C$9:$C173,$C173,$I$9:$I173,"?*"))</f>
        <v/>
      </c>
      <c r="K173" s="52">
        <f>IF($I173="","",IF($F173="",1,$F173))</f>
        <v/>
      </c>
    </row>
    <row r="174" ht="32" customHeight="1">
      <c r="A174" s="46" t="n"/>
      <c r="B174" s="47" t="n"/>
      <c r="C174" s="48">
        <f>IF($D174="","",IF(OR($A174="x",ROW()=9),Settings!$C$14&amp;TEXT(1000+COUNTIF($A$9:$A174,"x")+IF($A$9&lt;&gt;"x",1,0),"0000"),$C173))</f>
        <v/>
      </c>
      <c r="D174" s="46" t="n"/>
      <c r="E174" s="31">
        <f>IF($D174="","",IF($I174="","⚠️ Unknown code",_xlfn.XLOOKUP($I174,'Item Master'!$A$4:$A$53,'Item Master'!$C$4:$C$53,"")))</f>
        <v/>
      </c>
      <c r="F174" s="49" t="n"/>
      <c r="G174" s="36">
        <f>IF($I174="","",_xlfn.XLOOKUP($I174,'Item Master'!$A$4:$A$53,'Item Master'!$F$4:$F$53,0))</f>
        <v/>
      </c>
      <c r="H174" s="50">
        <f>IF($I174="","",$K174*$G174)</f>
        <v/>
      </c>
      <c r="I174" s="51">
        <f>IF($D174="","",IF(COUNTIF('Item Master'!$A$4:$A$53,$D174)&gt;0,$D174,_xlfn.XLOOKUP($D174,'Item Master'!$B$4:$B$53,'Item Master'!$A$4:$A$53,"")))</f>
        <v/>
      </c>
      <c r="J174" s="51">
        <f>IF($I174="","",$C174&amp;"|"&amp;COUNTIFS($C$9:$C174,$C174,$I$9:$I174,"?*"))</f>
        <v/>
      </c>
      <c r="K174" s="52">
        <f>IF($I174="","",IF($F174="",1,$F174))</f>
        <v/>
      </c>
    </row>
    <row r="175" ht="32" customHeight="1">
      <c r="A175" s="46" t="n"/>
      <c r="B175" s="47" t="n"/>
      <c r="C175" s="48">
        <f>IF($D175="","",IF(OR($A175="x",ROW()=9),Settings!$C$14&amp;TEXT(1000+COUNTIF($A$9:$A175,"x")+IF($A$9&lt;&gt;"x",1,0),"0000"),$C174))</f>
        <v/>
      </c>
      <c r="D175" s="46" t="n"/>
      <c r="E175" s="31">
        <f>IF($D175="","",IF($I175="","⚠️ Unknown code",_xlfn.XLOOKUP($I175,'Item Master'!$A$4:$A$53,'Item Master'!$C$4:$C$53,"")))</f>
        <v/>
      </c>
      <c r="F175" s="49" t="n"/>
      <c r="G175" s="36">
        <f>IF($I175="","",_xlfn.XLOOKUP($I175,'Item Master'!$A$4:$A$53,'Item Master'!$F$4:$F$53,0))</f>
        <v/>
      </c>
      <c r="H175" s="50">
        <f>IF($I175="","",$K175*$G175)</f>
        <v/>
      </c>
      <c r="I175" s="51">
        <f>IF($D175="","",IF(COUNTIF('Item Master'!$A$4:$A$53,$D175)&gt;0,$D175,_xlfn.XLOOKUP($D175,'Item Master'!$B$4:$B$53,'Item Master'!$A$4:$A$53,"")))</f>
        <v/>
      </c>
      <c r="J175" s="51">
        <f>IF($I175="","",$C175&amp;"|"&amp;COUNTIFS($C$9:$C175,$C175,$I$9:$I175,"?*"))</f>
        <v/>
      </c>
      <c r="K175" s="52">
        <f>IF($I175="","",IF($F175="",1,$F175))</f>
        <v/>
      </c>
    </row>
    <row r="176" ht="32" customHeight="1">
      <c r="A176" s="46" t="n"/>
      <c r="B176" s="47" t="n"/>
      <c r="C176" s="48">
        <f>IF($D176="","",IF(OR($A176="x",ROW()=9),Settings!$C$14&amp;TEXT(1000+COUNTIF($A$9:$A176,"x")+IF($A$9&lt;&gt;"x",1,0),"0000"),$C175))</f>
        <v/>
      </c>
      <c r="D176" s="46" t="n"/>
      <c r="E176" s="31">
        <f>IF($D176="","",IF($I176="","⚠️ Unknown code",_xlfn.XLOOKUP($I176,'Item Master'!$A$4:$A$53,'Item Master'!$C$4:$C$53,"")))</f>
        <v/>
      </c>
      <c r="F176" s="49" t="n"/>
      <c r="G176" s="36">
        <f>IF($I176="","",_xlfn.XLOOKUP($I176,'Item Master'!$A$4:$A$53,'Item Master'!$F$4:$F$53,0))</f>
        <v/>
      </c>
      <c r="H176" s="50">
        <f>IF($I176="","",$K176*$G176)</f>
        <v/>
      </c>
      <c r="I176" s="51">
        <f>IF($D176="","",IF(COUNTIF('Item Master'!$A$4:$A$53,$D176)&gt;0,$D176,_xlfn.XLOOKUP($D176,'Item Master'!$B$4:$B$53,'Item Master'!$A$4:$A$53,"")))</f>
        <v/>
      </c>
      <c r="J176" s="51">
        <f>IF($I176="","",$C176&amp;"|"&amp;COUNTIFS($C$9:$C176,$C176,$I$9:$I176,"?*"))</f>
        <v/>
      </c>
      <c r="K176" s="52">
        <f>IF($I176="","",IF($F176="",1,$F176))</f>
        <v/>
      </c>
    </row>
    <row r="177" ht="32" customHeight="1">
      <c r="A177" s="46" t="n"/>
      <c r="B177" s="47" t="n"/>
      <c r="C177" s="48">
        <f>IF($D177="","",IF(OR($A177="x",ROW()=9),Settings!$C$14&amp;TEXT(1000+COUNTIF($A$9:$A177,"x")+IF($A$9&lt;&gt;"x",1,0),"0000"),$C176))</f>
        <v/>
      </c>
      <c r="D177" s="46" t="n"/>
      <c r="E177" s="31">
        <f>IF($D177="","",IF($I177="","⚠️ Unknown code",_xlfn.XLOOKUP($I177,'Item Master'!$A$4:$A$53,'Item Master'!$C$4:$C$53,"")))</f>
        <v/>
      </c>
      <c r="F177" s="49" t="n"/>
      <c r="G177" s="36">
        <f>IF($I177="","",_xlfn.XLOOKUP($I177,'Item Master'!$A$4:$A$53,'Item Master'!$F$4:$F$53,0))</f>
        <v/>
      </c>
      <c r="H177" s="50">
        <f>IF($I177="","",$K177*$G177)</f>
        <v/>
      </c>
      <c r="I177" s="51">
        <f>IF($D177="","",IF(COUNTIF('Item Master'!$A$4:$A$53,$D177)&gt;0,$D177,_xlfn.XLOOKUP($D177,'Item Master'!$B$4:$B$53,'Item Master'!$A$4:$A$53,"")))</f>
        <v/>
      </c>
      <c r="J177" s="51">
        <f>IF($I177="","",$C177&amp;"|"&amp;COUNTIFS($C$9:$C177,$C177,$I$9:$I177,"?*"))</f>
        <v/>
      </c>
      <c r="K177" s="52">
        <f>IF($I177="","",IF($F177="",1,$F177))</f>
        <v/>
      </c>
    </row>
    <row r="178" ht="32" customHeight="1">
      <c r="A178" s="46" t="n"/>
      <c r="B178" s="47" t="n"/>
      <c r="C178" s="48">
        <f>IF($D178="","",IF(OR($A178="x",ROW()=9),Settings!$C$14&amp;TEXT(1000+COUNTIF($A$9:$A178,"x")+IF($A$9&lt;&gt;"x",1,0),"0000"),$C177))</f>
        <v/>
      </c>
      <c r="D178" s="46" t="n"/>
      <c r="E178" s="31">
        <f>IF($D178="","",IF($I178="","⚠️ Unknown code",_xlfn.XLOOKUP($I178,'Item Master'!$A$4:$A$53,'Item Master'!$C$4:$C$53,"")))</f>
        <v/>
      </c>
      <c r="F178" s="49" t="n"/>
      <c r="G178" s="36">
        <f>IF($I178="","",_xlfn.XLOOKUP($I178,'Item Master'!$A$4:$A$53,'Item Master'!$F$4:$F$53,0))</f>
        <v/>
      </c>
      <c r="H178" s="50">
        <f>IF($I178="","",$K178*$G178)</f>
        <v/>
      </c>
      <c r="I178" s="51">
        <f>IF($D178="","",IF(COUNTIF('Item Master'!$A$4:$A$53,$D178)&gt;0,$D178,_xlfn.XLOOKUP($D178,'Item Master'!$B$4:$B$53,'Item Master'!$A$4:$A$53,"")))</f>
        <v/>
      </c>
      <c r="J178" s="51">
        <f>IF($I178="","",$C178&amp;"|"&amp;COUNTIFS($C$9:$C178,$C178,$I$9:$I178,"?*"))</f>
        <v/>
      </c>
      <c r="K178" s="52">
        <f>IF($I178="","",IF($F178="",1,$F178))</f>
        <v/>
      </c>
    </row>
    <row r="179" ht="32" customHeight="1">
      <c r="A179" s="46" t="n"/>
      <c r="B179" s="47" t="n"/>
      <c r="C179" s="48">
        <f>IF($D179="","",IF(OR($A179="x",ROW()=9),Settings!$C$14&amp;TEXT(1000+COUNTIF($A$9:$A179,"x")+IF($A$9&lt;&gt;"x",1,0),"0000"),$C178))</f>
        <v/>
      </c>
      <c r="D179" s="46" t="n"/>
      <c r="E179" s="31">
        <f>IF($D179="","",IF($I179="","⚠️ Unknown code",_xlfn.XLOOKUP($I179,'Item Master'!$A$4:$A$53,'Item Master'!$C$4:$C$53,"")))</f>
        <v/>
      </c>
      <c r="F179" s="49" t="n"/>
      <c r="G179" s="36">
        <f>IF($I179="","",_xlfn.XLOOKUP($I179,'Item Master'!$A$4:$A$53,'Item Master'!$F$4:$F$53,0))</f>
        <v/>
      </c>
      <c r="H179" s="50">
        <f>IF($I179="","",$K179*$G179)</f>
        <v/>
      </c>
      <c r="I179" s="51">
        <f>IF($D179="","",IF(COUNTIF('Item Master'!$A$4:$A$53,$D179)&gt;0,$D179,_xlfn.XLOOKUP($D179,'Item Master'!$B$4:$B$53,'Item Master'!$A$4:$A$53,"")))</f>
        <v/>
      </c>
      <c r="J179" s="51">
        <f>IF($I179="","",$C179&amp;"|"&amp;COUNTIFS($C$9:$C179,$C179,$I$9:$I179,"?*"))</f>
        <v/>
      </c>
      <c r="K179" s="52">
        <f>IF($I179="","",IF($F179="",1,$F179))</f>
        <v/>
      </c>
    </row>
    <row r="180" ht="32" customHeight="1">
      <c r="A180" s="46" t="n"/>
      <c r="B180" s="47" t="n"/>
      <c r="C180" s="48">
        <f>IF($D180="","",IF(OR($A180="x",ROW()=9),Settings!$C$14&amp;TEXT(1000+COUNTIF($A$9:$A180,"x")+IF($A$9&lt;&gt;"x",1,0),"0000"),$C179))</f>
        <v/>
      </c>
      <c r="D180" s="46" t="n"/>
      <c r="E180" s="31">
        <f>IF($D180="","",IF($I180="","⚠️ Unknown code",_xlfn.XLOOKUP($I180,'Item Master'!$A$4:$A$53,'Item Master'!$C$4:$C$53,"")))</f>
        <v/>
      </c>
      <c r="F180" s="49" t="n"/>
      <c r="G180" s="36">
        <f>IF($I180="","",_xlfn.XLOOKUP($I180,'Item Master'!$A$4:$A$53,'Item Master'!$F$4:$F$53,0))</f>
        <v/>
      </c>
      <c r="H180" s="50">
        <f>IF($I180="","",$K180*$G180)</f>
        <v/>
      </c>
      <c r="I180" s="51">
        <f>IF($D180="","",IF(COUNTIF('Item Master'!$A$4:$A$53,$D180)&gt;0,$D180,_xlfn.XLOOKUP($D180,'Item Master'!$B$4:$B$53,'Item Master'!$A$4:$A$53,"")))</f>
        <v/>
      </c>
      <c r="J180" s="51">
        <f>IF($I180="","",$C180&amp;"|"&amp;COUNTIFS($C$9:$C180,$C180,$I$9:$I180,"?*"))</f>
        <v/>
      </c>
      <c r="K180" s="52">
        <f>IF($I180="","",IF($F180="",1,$F180))</f>
        <v/>
      </c>
    </row>
    <row r="181" ht="32" customHeight="1">
      <c r="A181" s="46" t="n"/>
      <c r="B181" s="47" t="n"/>
      <c r="C181" s="48">
        <f>IF($D181="","",IF(OR($A181="x",ROW()=9),Settings!$C$14&amp;TEXT(1000+COUNTIF($A$9:$A181,"x")+IF($A$9&lt;&gt;"x",1,0),"0000"),$C180))</f>
        <v/>
      </c>
      <c r="D181" s="46" t="n"/>
      <c r="E181" s="31">
        <f>IF($D181="","",IF($I181="","⚠️ Unknown code",_xlfn.XLOOKUP($I181,'Item Master'!$A$4:$A$53,'Item Master'!$C$4:$C$53,"")))</f>
        <v/>
      </c>
      <c r="F181" s="49" t="n"/>
      <c r="G181" s="36">
        <f>IF($I181="","",_xlfn.XLOOKUP($I181,'Item Master'!$A$4:$A$53,'Item Master'!$F$4:$F$53,0))</f>
        <v/>
      </c>
      <c r="H181" s="50">
        <f>IF($I181="","",$K181*$G181)</f>
        <v/>
      </c>
      <c r="I181" s="51">
        <f>IF($D181="","",IF(COUNTIF('Item Master'!$A$4:$A$53,$D181)&gt;0,$D181,_xlfn.XLOOKUP($D181,'Item Master'!$B$4:$B$53,'Item Master'!$A$4:$A$53,"")))</f>
        <v/>
      </c>
      <c r="J181" s="51">
        <f>IF($I181="","",$C181&amp;"|"&amp;COUNTIFS($C$9:$C181,$C181,$I$9:$I181,"?*"))</f>
        <v/>
      </c>
      <c r="K181" s="52">
        <f>IF($I181="","",IF($F181="",1,$F181))</f>
        <v/>
      </c>
    </row>
    <row r="182" ht="32" customHeight="1">
      <c r="A182" s="46" t="n"/>
      <c r="B182" s="47" t="n"/>
      <c r="C182" s="48">
        <f>IF($D182="","",IF(OR($A182="x",ROW()=9),Settings!$C$14&amp;TEXT(1000+COUNTIF($A$9:$A182,"x")+IF($A$9&lt;&gt;"x",1,0),"0000"),$C181))</f>
        <v/>
      </c>
      <c r="D182" s="46" t="n"/>
      <c r="E182" s="31">
        <f>IF($D182="","",IF($I182="","⚠️ Unknown code",_xlfn.XLOOKUP($I182,'Item Master'!$A$4:$A$53,'Item Master'!$C$4:$C$53,"")))</f>
        <v/>
      </c>
      <c r="F182" s="49" t="n"/>
      <c r="G182" s="36">
        <f>IF($I182="","",_xlfn.XLOOKUP($I182,'Item Master'!$A$4:$A$53,'Item Master'!$F$4:$F$53,0))</f>
        <v/>
      </c>
      <c r="H182" s="50">
        <f>IF($I182="","",$K182*$G182)</f>
        <v/>
      </c>
      <c r="I182" s="51">
        <f>IF($D182="","",IF(COUNTIF('Item Master'!$A$4:$A$53,$D182)&gt;0,$D182,_xlfn.XLOOKUP($D182,'Item Master'!$B$4:$B$53,'Item Master'!$A$4:$A$53,"")))</f>
        <v/>
      </c>
      <c r="J182" s="51">
        <f>IF($I182="","",$C182&amp;"|"&amp;COUNTIFS($C$9:$C182,$C182,$I$9:$I182,"?*"))</f>
        <v/>
      </c>
      <c r="K182" s="52">
        <f>IF($I182="","",IF($F182="",1,$F182))</f>
        <v/>
      </c>
    </row>
    <row r="183" ht="32" customHeight="1">
      <c r="A183" s="46" t="n"/>
      <c r="B183" s="47" t="n"/>
      <c r="C183" s="48">
        <f>IF($D183="","",IF(OR($A183="x",ROW()=9),Settings!$C$14&amp;TEXT(1000+COUNTIF($A$9:$A183,"x")+IF($A$9&lt;&gt;"x",1,0),"0000"),$C182))</f>
        <v/>
      </c>
      <c r="D183" s="46" t="n"/>
      <c r="E183" s="31">
        <f>IF($D183="","",IF($I183="","⚠️ Unknown code",_xlfn.XLOOKUP($I183,'Item Master'!$A$4:$A$53,'Item Master'!$C$4:$C$53,"")))</f>
        <v/>
      </c>
      <c r="F183" s="49" t="n"/>
      <c r="G183" s="36">
        <f>IF($I183="","",_xlfn.XLOOKUP($I183,'Item Master'!$A$4:$A$53,'Item Master'!$F$4:$F$53,0))</f>
        <v/>
      </c>
      <c r="H183" s="50">
        <f>IF($I183="","",$K183*$G183)</f>
        <v/>
      </c>
      <c r="I183" s="51">
        <f>IF($D183="","",IF(COUNTIF('Item Master'!$A$4:$A$53,$D183)&gt;0,$D183,_xlfn.XLOOKUP($D183,'Item Master'!$B$4:$B$53,'Item Master'!$A$4:$A$53,"")))</f>
        <v/>
      </c>
      <c r="J183" s="51">
        <f>IF($I183="","",$C183&amp;"|"&amp;COUNTIFS($C$9:$C183,$C183,$I$9:$I183,"?*"))</f>
        <v/>
      </c>
      <c r="K183" s="52">
        <f>IF($I183="","",IF($F183="",1,$F183))</f>
        <v/>
      </c>
    </row>
    <row r="184" ht="32" customHeight="1">
      <c r="A184" s="46" t="n"/>
      <c r="B184" s="47" t="n"/>
      <c r="C184" s="48">
        <f>IF($D184="","",IF(OR($A184="x",ROW()=9),Settings!$C$14&amp;TEXT(1000+COUNTIF($A$9:$A184,"x")+IF($A$9&lt;&gt;"x",1,0),"0000"),$C183))</f>
        <v/>
      </c>
      <c r="D184" s="46" t="n"/>
      <c r="E184" s="31">
        <f>IF($D184="","",IF($I184="","⚠️ Unknown code",_xlfn.XLOOKUP($I184,'Item Master'!$A$4:$A$53,'Item Master'!$C$4:$C$53,"")))</f>
        <v/>
      </c>
      <c r="F184" s="49" t="n"/>
      <c r="G184" s="36">
        <f>IF($I184="","",_xlfn.XLOOKUP($I184,'Item Master'!$A$4:$A$53,'Item Master'!$F$4:$F$53,0))</f>
        <v/>
      </c>
      <c r="H184" s="50">
        <f>IF($I184="","",$K184*$G184)</f>
        <v/>
      </c>
      <c r="I184" s="51">
        <f>IF($D184="","",IF(COUNTIF('Item Master'!$A$4:$A$53,$D184)&gt;0,$D184,_xlfn.XLOOKUP($D184,'Item Master'!$B$4:$B$53,'Item Master'!$A$4:$A$53,"")))</f>
        <v/>
      </c>
      <c r="J184" s="51">
        <f>IF($I184="","",$C184&amp;"|"&amp;COUNTIFS($C$9:$C184,$C184,$I$9:$I184,"?*"))</f>
        <v/>
      </c>
      <c r="K184" s="52">
        <f>IF($I184="","",IF($F184="",1,$F184))</f>
        <v/>
      </c>
    </row>
    <row r="185" ht="32" customHeight="1">
      <c r="A185" s="46" t="n"/>
      <c r="B185" s="47" t="n"/>
      <c r="C185" s="48">
        <f>IF($D185="","",IF(OR($A185="x",ROW()=9),Settings!$C$14&amp;TEXT(1000+COUNTIF($A$9:$A185,"x")+IF($A$9&lt;&gt;"x",1,0),"0000"),$C184))</f>
        <v/>
      </c>
      <c r="D185" s="46" t="n"/>
      <c r="E185" s="31">
        <f>IF($D185="","",IF($I185="","⚠️ Unknown code",_xlfn.XLOOKUP($I185,'Item Master'!$A$4:$A$53,'Item Master'!$C$4:$C$53,"")))</f>
        <v/>
      </c>
      <c r="F185" s="49" t="n"/>
      <c r="G185" s="36">
        <f>IF($I185="","",_xlfn.XLOOKUP($I185,'Item Master'!$A$4:$A$53,'Item Master'!$F$4:$F$53,0))</f>
        <v/>
      </c>
      <c r="H185" s="50">
        <f>IF($I185="","",$K185*$G185)</f>
        <v/>
      </c>
      <c r="I185" s="51">
        <f>IF($D185="","",IF(COUNTIF('Item Master'!$A$4:$A$53,$D185)&gt;0,$D185,_xlfn.XLOOKUP($D185,'Item Master'!$B$4:$B$53,'Item Master'!$A$4:$A$53,"")))</f>
        <v/>
      </c>
      <c r="J185" s="51">
        <f>IF($I185="","",$C185&amp;"|"&amp;COUNTIFS($C$9:$C185,$C185,$I$9:$I185,"?*"))</f>
        <v/>
      </c>
      <c r="K185" s="52">
        <f>IF($I185="","",IF($F185="",1,$F185))</f>
        <v/>
      </c>
    </row>
    <row r="186" ht="32" customHeight="1">
      <c r="A186" s="46" t="n"/>
      <c r="B186" s="47" t="n"/>
      <c r="C186" s="48">
        <f>IF($D186="","",IF(OR($A186="x",ROW()=9),Settings!$C$14&amp;TEXT(1000+COUNTIF($A$9:$A186,"x")+IF($A$9&lt;&gt;"x",1,0),"0000"),$C185))</f>
        <v/>
      </c>
      <c r="D186" s="46" t="n"/>
      <c r="E186" s="31">
        <f>IF($D186="","",IF($I186="","⚠️ Unknown code",_xlfn.XLOOKUP($I186,'Item Master'!$A$4:$A$53,'Item Master'!$C$4:$C$53,"")))</f>
        <v/>
      </c>
      <c r="F186" s="49" t="n"/>
      <c r="G186" s="36">
        <f>IF($I186="","",_xlfn.XLOOKUP($I186,'Item Master'!$A$4:$A$53,'Item Master'!$F$4:$F$53,0))</f>
        <v/>
      </c>
      <c r="H186" s="50">
        <f>IF($I186="","",$K186*$G186)</f>
        <v/>
      </c>
      <c r="I186" s="51">
        <f>IF($D186="","",IF(COUNTIF('Item Master'!$A$4:$A$53,$D186)&gt;0,$D186,_xlfn.XLOOKUP($D186,'Item Master'!$B$4:$B$53,'Item Master'!$A$4:$A$53,"")))</f>
        <v/>
      </c>
      <c r="J186" s="51">
        <f>IF($I186="","",$C186&amp;"|"&amp;COUNTIFS($C$9:$C186,$C186,$I$9:$I186,"?*"))</f>
        <v/>
      </c>
      <c r="K186" s="52">
        <f>IF($I186="","",IF($F186="",1,$F186))</f>
        <v/>
      </c>
    </row>
    <row r="187" ht="32" customHeight="1">
      <c r="A187" s="46" t="n"/>
      <c r="B187" s="47" t="n"/>
      <c r="C187" s="48">
        <f>IF($D187="","",IF(OR($A187="x",ROW()=9),Settings!$C$14&amp;TEXT(1000+COUNTIF($A$9:$A187,"x")+IF($A$9&lt;&gt;"x",1,0),"0000"),$C186))</f>
        <v/>
      </c>
      <c r="D187" s="46" t="n"/>
      <c r="E187" s="31">
        <f>IF($D187="","",IF($I187="","⚠️ Unknown code",_xlfn.XLOOKUP($I187,'Item Master'!$A$4:$A$53,'Item Master'!$C$4:$C$53,"")))</f>
        <v/>
      </c>
      <c r="F187" s="49" t="n"/>
      <c r="G187" s="36">
        <f>IF($I187="","",_xlfn.XLOOKUP($I187,'Item Master'!$A$4:$A$53,'Item Master'!$F$4:$F$53,0))</f>
        <v/>
      </c>
      <c r="H187" s="50">
        <f>IF($I187="","",$K187*$G187)</f>
        <v/>
      </c>
      <c r="I187" s="51">
        <f>IF($D187="","",IF(COUNTIF('Item Master'!$A$4:$A$53,$D187)&gt;0,$D187,_xlfn.XLOOKUP($D187,'Item Master'!$B$4:$B$53,'Item Master'!$A$4:$A$53,"")))</f>
        <v/>
      </c>
      <c r="J187" s="51">
        <f>IF($I187="","",$C187&amp;"|"&amp;COUNTIFS($C$9:$C187,$C187,$I$9:$I187,"?*"))</f>
        <v/>
      </c>
      <c r="K187" s="52">
        <f>IF($I187="","",IF($F187="",1,$F187))</f>
        <v/>
      </c>
    </row>
    <row r="188" ht="32" customHeight="1">
      <c r="A188" s="46" t="n"/>
      <c r="B188" s="47" t="n"/>
      <c r="C188" s="48">
        <f>IF($D188="","",IF(OR($A188="x",ROW()=9),Settings!$C$14&amp;TEXT(1000+COUNTIF($A$9:$A188,"x")+IF($A$9&lt;&gt;"x",1,0),"0000"),$C187))</f>
        <v/>
      </c>
      <c r="D188" s="46" t="n"/>
      <c r="E188" s="31">
        <f>IF($D188="","",IF($I188="","⚠️ Unknown code",_xlfn.XLOOKUP($I188,'Item Master'!$A$4:$A$53,'Item Master'!$C$4:$C$53,"")))</f>
        <v/>
      </c>
      <c r="F188" s="49" t="n"/>
      <c r="G188" s="36">
        <f>IF($I188="","",_xlfn.XLOOKUP($I188,'Item Master'!$A$4:$A$53,'Item Master'!$F$4:$F$53,0))</f>
        <v/>
      </c>
      <c r="H188" s="50">
        <f>IF($I188="","",$K188*$G188)</f>
        <v/>
      </c>
      <c r="I188" s="51">
        <f>IF($D188="","",IF(COUNTIF('Item Master'!$A$4:$A$53,$D188)&gt;0,$D188,_xlfn.XLOOKUP($D188,'Item Master'!$B$4:$B$53,'Item Master'!$A$4:$A$53,"")))</f>
        <v/>
      </c>
      <c r="J188" s="51">
        <f>IF($I188="","",$C188&amp;"|"&amp;COUNTIFS($C$9:$C188,$C188,$I$9:$I188,"?*"))</f>
        <v/>
      </c>
      <c r="K188" s="52">
        <f>IF($I188="","",IF($F188="",1,$F188))</f>
        <v/>
      </c>
    </row>
    <row r="189" ht="32" customHeight="1">
      <c r="A189" s="46" t="n"/>
      <c r="B189" s="47" t="n"/>
      <c r="C189" s="48">
        <f>IF($D189="","",IF(OR($A189="x",ROW()=9),Settings!$C$14&amp;TEXT(1000+COUNTIF($A$9:$A189,"x")+IF($A$9&lt;&gt;"x",1,0),"0000"),$C188))</f>
        <v/>
      </c>
      <c r="D189" s="46" t="n"/>
      <c r="E189" s="31">
        <f>IF($D189="","",IF($I189="","⚠️ Unknown code",_xlfn.XLOOKUP($I189,'Item Master'!$A$4:$A$53,'Item Master'!$C$4:$C$53,"")))</f>
        <v/>
      </c>
      <c r="F189" s="49" t="n"/>
      <c r="G189" s="36">
        <f>IF($I189="","",_xlfn.XLOOKUP($I189,'Item Master'!$A$4:$A$53,'Item Master'!$F$4:$F$53,0))</f>
        <v/>
      </c>
      <c r="H189" s="50">
        <f>IF($I189="","",$K189*$G189)</f>
        <v/>
      </c>
      <c r="I189" s="51">
        <f>IF($D189="","",IF(COUNTIF('Item Master'!$A$4:$A$53,$D189)&gt;0,$D189,_xlfn.XLOOKUP($D189,'Item Master'!$B$4:$B$53,'Item Master'!$A$4:$A$53,"")))</f>
        <v/>
      </c>
      <c r="J189" s="51">
        <f>IF($I189="","",$C189&amp;"|"&amp;COUNTIFS($C$9:$C189,$C189,$I$9:$I189,"?*"))</f>
        <v/>
      </c>
      <c r="K189" s="52">
        <f>IF($I189="","",IF($F189="",1,$F189))</f>
        <v/>
      </c>
    </row>
    <row r="190" ht="32" customHeight="1">
      <c r="A190" s="46" t="n"/>
      <c r="B190" s="47" t="n"/>
      <c r="C190" s="48">
        <f>IF($D190="","",IF(OR($A190="x",ROW()=9),Settings!$C$14&amp;TEXT(1000+COUNTIF($A$9:$A190,"x")+IF($A$9&lt;&gt;"x",1,0),"0000"),$C189))</f>
        <v/>
      </c>
      <c r="D190" s="46" t="n"/>
      <c r="E190" s="31">
        <f>IF($D190="","",IF($I190="","⚠️ Unknown code",_xlfn.XLOOKUP($I190,'Item Master'!$A$4:$A$53,'Item Master'!$C$4:$C$53,"")))</f>
        <v/>
      </c>
      <c r="F190" s="49" t="n"/>
      <c r="G190" s="36">
        <f>IF($I190="","",_xlfn.XLOOKUP($I190,'Item Master'!$A$4:$A$53,'Item Master'!$F$4:$F$53,0))</f>
        <v/>
      </c>
      <c r="H190" s="50">
        <f>IF($I190="","",$K190*$G190)</f>
        <v/>
      </c>
      <c r="I190" s="51">
        <f>IF($D190="","",IF(COUNTIF('Item Master'!$A$4:$A$53,$D190)&gt;0,$D190,_xlfn.XLOOKUP($D190,'Item Master'!$B$4:$B$53,'Item Master'!$A$4:$A$53,"")))</f>
        <v/>
      </c>
      <c r="J190" s="51">
        <f>IF($I190="","",$C190&amp;"|"&amp;COUNTIFS($C$9:$C190,$C190,$I$9:$I190,"?*"))</f>
        <v/>
      </c>
      <c r="K190" s="52">
        <f>IF($I190="","",IF($F190="",1,$F190))</f>
        <v/>
      </c>
    </row>
    <row r="191" ht="32" customHeight="1">
      <c r="A191" s="46" t="n"/>
      <c r="B191" s="47" t="n"/>
      <c r="C191" s="48">
        <f>IF($D191="","",IF(OR($A191="x",ROW()=9),Settings!$C$14&amp;TEXT(1000+COUNTIF($A$9:$A191,"x")+IF($A$9&lt;&gt;"x",1,0),"0000"),$C190))</f>
        <v/>
      </c>
      <c r="D191" s="46" t="n"/>
      <c r="E191" s="31">
        <f>IF($D191="","",IF($I191="","⚠️ Unknown code",_xlfn.XLOOKUP($I191,'Item Master'!$A$4:$A$53,'Item Master'!$C$4:$C$53,"")))</f>
        <v/>
      </c>
      <c r="F191" s="49" t="n"/>
      <c r="G191" s="36">
        <f>IF($I191="","",_xlfn.XLOOKUP($I191,'Item Master'!$A$4:$A$53,'Item Master'!$F$4:$F$53,0))</f>
        <v/>
      </c>
      <c r="H191" s="50">
        <f>IF($I191="","",$K191*$G191)</f>
        <v/>
      </c>
      <c r="I191" s="51">
        <f>IF($D191="","",IF(COUNTIF('Item Master'!$A$4:$A$53,$D191)&gt;0,$D191,_xlfn.XLOOKUP($D191,'Item Master'!$B$4:$B$53,'Item Master'!$A$4:$A$53,"")))</f>
        <v/>
      </c>
      <c r="J191" s="51">
        <f>IF($I191="","",$C191&amp;"|"&amp;COUNTIFS($C$9:$C191,$C191,$I$9:$I191,"?*"))</f>
        <v/>
      </c>
      <c r="K191" s="52">
        <f>IF($I191="","",IF($F191="",1,$F191))</f>
        <v/>
      </c>
    </row>
    <row r="192" ht="32" customHeight="1">
      <c r="A192" s="46" t="n"/>
      <c r="B192" s="47" t="n"/>
      <c r="C192" s="48">
        <f>IF($D192="","",IF(OR($A192="x",ROW()=9),Settings!$C$14&amp;TEXT(1000+COUNTIF($A$9:$A192,"x")+IF($A$9&lt;&gt;"x",1,0),"0000"),$C191))</f>
        <v/>
      </c>
      <c r="D192" s="46" t="n"/>
      <c r="E192" s="31">
        <f>IF($D192="","",IF($I192="","⚠️ Unknown code",_xlfn.XLOOKUP($I192,'Item Master'!$A$4:$A$53,'Item Master'!$C$4:$C$53,"")))</f>
        <v/>
      </c>
      <c r="F192" s="49" t="n"/>
      <c r="G192" s="36">
        <f>IF($I192="","",_xlfn.XLOOKUP($I192,'Item Master'!$A$4:$A$53,'Item Master'!$F$4:$F$53,0))</f>
        <v/>
      </c>
      <c r="H192" s="50">
        <f>IF($I192="","",$K192*$G192)</f>
        <v/>
      </c>
      <c r="I192" s="51">
        <f>IF($D192="","",IF(COUNTIF('Item Master'!$A$4:$A$53,$D192)&gt;0,$D192,_xlfn.XLOOKUP($D192,'Item Master'!$B$4:$B$53,'Item Master'!$A$4:$A$53,"")))</f>
        <v/>
      </c>
      <c r="J192" s="51">
        <f>IF($I192="","",$C192&amp;"|"&amp;COUNTIFS($C$9:$C192,$C192,$I$9:$I192,"?*"))</f>
        <v/>
      </c>
      <c r="K192" s="52">
        <f>IF($I192="","",IF($F192="",1,$F192))</f>
        <v/>
      </c>
    </row>
    <row r="193" ht="32" customHeight="1">
      <c r="A193" s="46" t="n"/>
      <c r="B193" s="47" t="n"/>
      <c r="C193" s="48">
        <f>IF($D193="","",IF(OR($A193="x",ROW()=9),Settings!$C$14&amp;TEXT(1000+COUNTIF($A$9:$A193,"x")+IF($A$9&lt;&gt;"x",1,0),"0000"),$C192))</f>
        <v/>
      </c>
      <c r="D193" s="46" t="n"/>
      <c r="E193" s="31">
        <f>IF($D193="","",IF($I193="","⚠️ Unknown code",_xlfn.XLOOKUP($I193,'Item Master'!$A$4:$A$53,'Item Master'!$C$4:$C$53,"")))</f>
        <v/>
      </c>
      <c r="F193" s="49" t="n"/>
      <c r="G193" s="36">
        <f>IF($I193="","",_xlfn.XLOOKUP($I193,'Item Master'!$A$4:$A$53,'Item Master'!$F$4:$F$53,0))</f>
        <v/>
      </c>
      <c r="H193" s="50">
        <f>IF($I193="","",$K193*$G193)</f>
        <v/>
      </c>
      <c r="I193" s="51">
        <f>IF($D193="","",IF(COUNTIF('Item Master'!$A$4:$A$53,$D193)&gt;0,$D193,_xlfn.XLOOKUP($D193,'Item Master'!$B$4:$B$53,'Item Master'!$A$4:$A$53,"")))</f>
        <v/>
      </c>
      <c r="J193" s="51">
        <f>IF($I193="","",$C193&amp;"|"&amp;COUNTIFS($C$9:$C193,$C193,$I$9:$I193,"?*"))</f>
        <v/>
      </c>
      <c r="K193" s="52">
        <f>IF($I193="","",IF($F193="",1,$F193))</f>
        <v/>
      </c>
    </row>
    <row r="194" ht="32" customHeight="1">
      <c r="A194" s="46" t="n"/>
      <c r="B194" s="47" t="n"/>
      <c r="C194" s="48">
        <f>IF($D194="","",IF(OR($A194="x",ROW()=9),Settings!$C$14&amp;TEXT(1000+COUNTIF($A$9:$A194,"x")+IF($A$9&lt;&gt;"x",1,0),"0000"),$C193))</f>
        <v/>
      </c>
      <c r="D194" s="46" t="n"/>
      <c r="E194" s="31">
        <f>IF($D194="","",IF($I194="","⚠️ Unknown code",_xlfn.XLOOKUP($I194,'Item Master'!$A$4:$A$53,'Item Master'!$C$4:$C$53,"")))</f>
        <v/>
      </c>
      <c r="F194" s="49" t="n"/>
      <c r="G194" s="36">
        <f>IF($I194="","",_xlfn.XLOOKUP($I194,'Item Master'!$A$4:$A$53,'Item Master'!$F$4:$F$53,0))</f>
        <v/>
      </c>
      <c r="H194" s="50">
        <f>IF($I194="","",$K194*$G194)</f>
        <v/>
      </c>
      <c r="I194" s="51">
        <f>IF($D194="","",IF(COUNTIF('Item Master'!$A$4:$A$53,$D194)&gt;0,$D194,_xlfn.XLOOKUP($D194,'Item Master'!$B$4:$B$53,'Item Master'!$A$4:$A$53,"")))</f>
        <v/>
      </c>
      <c r="J194" s="51">
        <f>IF($I194="","",$C194&amp;"|"&amp;COUNTIFS($C$9:$C194,$C194,$I$9:$I194,"?*"))</f>
        <v/>
      </c>
      <c r="K194" s="52">
        <f>IF($I194="","",IF($F194="",1,$F194))</f>
        <v/>
      </c>
    </row>
    <row r="195" ht="32" customHeight="1">
      <c r="A195" s="46" t="n"/>
      <c r="B195" s="47" t="n"/>
      <c r="C195" s="48">
        <f>IF($D195="","",IF(OR($A195="x",ROW()=9),Settings!$C$14&amp;TEXT(1000+COUNTIF($A$9:$A195,"x")+IF($A$9&lt;&gt;"x",1,0),"0000"),$C194))</f>
        <v/>
      </c>
      <c r="D195" s="46" t="n"/>
      <c r="E195" s="31">
        <f>IF($D195="","",IF($I195="","⚠️ Unknown code",_xlfn.XLOOKUP($I195,'Item Master'!$A$4:$A$53,'Item Master'!$C$4:$C$53,"")))</f>
        <v/>
      </c>
      <c r="F195" s="49" t="n"/>
      <c r="G195" s="36">
        <f>IF($I195="","",_xlfn.XLOOKUP($I195,'Item Master'!$A$4:$A$53,'Item Master'!$F$4:$F$53,0))</f>
        <v/>
      </c>
      <c r="H195" s="50">
        <f>IF($I195="","",$K195*$G195)</f>
        <v/>
      </c>
      <c r="I195" s="51">
        <f>IF($D195="","",IF(COUNTIF('Item Master'!$A$4:$A$53,$D195)&gt;0,$D195,_xlfn.XLOOKUP($D195,'Item Master'!$B$4:$B$53,'Item Master'!$A$4:$A$53,"")))</f>
        <v/>
      </c>
      <c r="J195" s="51">
        <f>IF($I195="","",$C195&amp;"|"&amp;COUNTIFS($C$9:$C195,$C195,$I$9:$I195,"?*"))</f>
        <v/>
      </c>
      <c r="K195" s="52">
        <f>IF($I195="","",IF($F195="",1,$F195))</f>
        <v/>
      </c>
    </row>
    <row r="196" ht="32" customHeight="1">
      <c r="A196" s="46" t="n"/>
      <c r="B196" s="47" t="n"/>
      <c r="C196" s="48">
        <f>IF($D196="","",IF(OR($A196="x",ROW()=9),Settings!$C$14&amp;TEXT(1000+COUNTIF($A$9:$A196,"x")+IF($A$9&lt;&gt;"x",1,0),"0000"),$C195))</f>
        <v/>
      </c>
      <c r="D196" s="46" t="n"/>
      <c r="E196" s="31">
        <f>IF($D196="","",IF($I196="","⚠️ Unknown code",_xlfn.XLOOKUP($I196,'Item Master'!$A$4:$A$53,'Item Master'!$C$4:$C$53,"")))</f>
        <v/>
      </c>
      <c r="F196" s="49" t="n"/>
      <c r="G196" s="36">
        <f>IF($I196="","",_xlfn.XLOOKUP($I196,'Item Master'!$A$4:$A$53,'Item Master'!$F$4:$F$53,0))</f>
        <v/>
      </c>
      <c r="H196" s="50">
        <f>IF($I196="","",$K196*$G196)</f>
        <v/>
      </c>
      <c r="I196" s="51">
        <f>IF($D196="","",IF(COUNTIF('Item Master'!$A$4:$A$53,$D196)&gt;0,$D196,_xlfn.XLOOKUP($D196,'Item Master'!$B$4:$B$53,'Item Master'!$A$4:$A$53,"")))</f>
        <v/>
      </c>
      <c r="J196" s="51">
        <f>IF($I196="","",$C196&amp;"|"&amp;COUNTIFS($C$9:$C196,$C196,$I$9:$I196,"?*"))</f>
        <v/>
      </c>
      <c r="K196" s="52">
        <f>IF($I196="","",IF($F196="",1,$F196))</f>
        <v/>
      </c>
    </row>
    <row r="197" ht="32" customHeight="1">
      <c r="A197" s="46" t="n"/>
      <c r="B197" s="47" t="n"/>
      <c r="C197" s="48">
        <f>IF($D197="","",IF(OR($A197="x",ROW()=9),Settings!$C$14&amp;TEXT(1000+COUNTIF($A$9:$A197,"x")+IF($A$9&lt;&gt;"x",1,0),"0000"),$C196))</f>
        <v/>
      </c>
      <c r="D197" s="46" t="n"/>
      <c r="E197" s="31">
        <f>IF($D197="","",IF($I197="","⚠️ Unknown code",_xlfn.XLOOKUP($I197,'Item Master'!$A$4:$A$53,'Item Master'!$C$4:$C$53,"")))</f>
        <v/>
      </c>
      <c r="F197" s="49" t="n"/>
      <c r="G197" s="36">
        <f>IF($I197="","",_xlfn.XLOOKUP($I197,'Item Master'!$A$4:$A$53,'Item Master'!$F$4:$F$53,0))</f>
        <v/>
      </c>
      <c r="H197" s="50">
        <f>IF($I197="","",$K197*$G197)</f>
        <v/>
      </c>
      <c r="I197" s="51">
        <f>IF($D197="","",IF(COUNTIF('Item Master'!$A$4:$A$53,$D197)&gt;0,$D197,_xlfn.XLOOKUP($D197,'Item Master'!$B$4:$B$53,'Item Master'!$A$4:$A$53,"")))</f>
        <v/>
      </c>
      <c r="J197" s="51">
        <f>IF($I197="","",$C197&amp;"|"&amp;COUNTIFS($C$9:$C197,$C197,$I$9:$I197,"?*"))</f>
        <v/>
      </c>
      <c r="K197" s="52">
        <f>IF($I197="","",IF($F197="",1,$F197))</f>
        <v/>
      </c>
    </row>
    <row r="198" ht="32" customHeight="1">
      <c r="A198" s="46" t="n"/>
      <c r="B198" s="47" t="n"/>
      <c r="C198" s="48">
        <f>IF($D198="","",IF(OR($A198="x",ROW()=9),Settings!$C$14&amp;TEXT(1000+COUNTIF($A$9:$A198,"x")+IF($A$9&lt;&gt;"x",1,0),"0000"),$C197))</f>
        <v/>
      </c>
      <c r="D198" s="46" t="n"/>
      <c r="E198" s="31">
        <f>IF($D198="","",IF($I198="","⚠️ Unknown code",_xlfn.XLOOKUP($I198,'Item Master'!$A$4:$A$53,'Item Master'!$C$4:$C$53,"")))</f>
        <v/>
      </c>
      <c r="F198" s="49" t="n"/>
      <c r="G198" s="36">
        <f>IF($I198="","",_xlfn.XLOOKUP($I198,'Item Master'!$A$4:$A$53,'Item Master'!$F$4:$F$53,0))</f>
        <v/>
      </c>
      <c r="H198" s="50">
        <f>IF($I198="","",$K198*$G198)</f>
        <v/>
      </c>
      <c r="I198" s="51">
        <f>IF($D198="","",IF(COUNTIF('Item Master'!$A$4:$A$53,$D198)&gt;0,$D198,_xlfn.XLOOKUP($D198,'Item Master'!$B$4:$B$53,'Item Master'!$A$4:$A$53,"")))</f>
        <v/>
      </c>
      <c r="J198" s="51">
        <f>IF($I198="","",$C198&amp;"|"&amp;COUNTIFS($C$9:$C198,$C198,$I$9:$I198,"?*"))</f>
        <v/>
      </c>
      <c r="K198" s="52">
        <f>IF($I198="","",IF($F198="",1,$F198))</f>
        <v/>
      </c>
    </row>
    <row r="199" ht="32" customHeight="1">
      <c r="A199" s="46" t="n"/>
      <c r="B199" s="47" t="n"/>
      <c r="C199" s="48">
        <f>IF($D199="","",IF(OR($A199="x",ROW()=9),Settings!$C$14&amp;TEXT(1000+COUNTIF($A$9:$A199,"x")+IF($A$9&lt;&gt;"x",1,0),"0000"),$C198))</f>
        <v/>
      </c>
      <c r="D199" s="46" t="n"/>
      <c r="E199" s="31">
        <f>IF($D199="","",IF($I199="","⚠️ Unknown code",_xlfn.XLOOKUP($I199,'Item Master'!$A$4:$A$53,'Item Master'!$C$4:$C$53,"")))</f>
        <v/>
      </c>
      <c r="F199" s="49" t="n"/>
      <c r="G199" s="36">
        <f>IF($I199="","",_xlfn.XLOOKUP($I199,'Item Master'!$A$4:$A$53,'Item Master'!$F$4:$F$53,0))</f>
        <v/>
      </c>
      <c r="H199" s="50">
        <f>IF($I199="","",$K199*$G199)</f>
        <v/>
      </c>
      <c r="I199" s="51">
        <f>IF($D199="","",IF(COUNTIF('Item Master'!$A$4:$A$53,$D199)&gt;0,$D199,_xlfn.XLOOKUP($D199,'Item Master'!$B$4:$B$53,'Item Master'!$A$4:$A$53,"")))</f>
        <v/>
      </c>
      <c r="J199" s="51">
        <f>IF($I199="","",$C199&amp;"|"&amp;COUNTIFS($C$9:$C199,$C199,$I$9:$I199,"?*"))</f>
        <v/>
      </c>
      <c r="K199" s="52">
        <f>IF($I199="","",IF($F199="",1,$F199))</f>
        <v/>
      </c>
    </row>
    <row r="200" ht="32" customHeight="1">
      <c r="A200" s="46" t="n"/>
      <c r="B200" s="47" t="n"/>
      <c r="C200" s="48">
        <f>IF($D200="","",IF(OR($A200="x",ROW()=9),Settings!$C$14&amp;TEXT(1000+COUNTIF($A$9:$A200,"x")+IF($A$9&lt;&gt;"x",1,0),"0000"),$C199))</f>
        <v/>
      </c>
      <c r="D200" s="46" t="n"/>
      <c r="E200" s="31">
        <f>IF($D200="","",IF($I200="","⚠️ Unknown code",_xlfn.XLOOKUP($I200,'Item Master'!$A$4:$A$53,'Item Master'!$C$4:$C$53,"")))</f>
        <v/>
      </c>
      <c r="F200" s="49" t="n"/>
      <c r="G200" s="36">
        <f>IF($I200="","",_xlfn.XLOOKUP($I200,'Item Master'!$A$4:$A$53,'Item Master'!$F$4:$F$53,0))</f>
        <v/>
      </c>
      <c r="H200" s="50">
        <f>IF($I200="","",$K200*$G200)</f>
        <v/>
      </c>
      <c r="I200" s="51">
        <f>IF($D200="","",IF(COUNTIF('Item Master'!$A$4:$A$53,$D200)&gt;0,$D200,_xlfn.XLOOKUP($D200,'Item Master'!$B$4:$B$53,'Item Master'!$A$4:$A$53,"")))</f>
        <v/>
      </c>
      <c r="J200" s="51">
        <f>IF($I200="","",$C200&amp;"|"&amp;COUNTIFS($C$9:$C200,$C200,$I$9:$I200,"?*"))</f>
        <v/>
      </c>
      <c r="K200" s="52">
        <f>IF($I200="","",IF($F200="",1,$F200))</f>
        <v/>
      </c>
    </row>
    <row r="201" ht="32" customHeight="1">
      <c r="A201" s="46" t="n"/>
      <c r="B201" s="47" t="n"/>
      <c r="C201" s="48">
        <f>IF($D201="","",IF(OR($A201="x",ROW()=9),Settings!$C$14&amp;TEXT(1000+COUNTIF($A$9:$A201,"x")+IF($A$9&lt;&gt;"x",1,0),"0000"),$C200))</f>
        <v/>
      </c>
      <c r="D201" s="46" t="n"/>
      <c r="E201" s="31">
        <f>IF($D201="","",IF($I201="","⚠️ Unknown code",_xlfn.XLOOKUP($I201,'Item Master'!$A$4:$A$53,'Item Master'!$C$4:$C$53,"")))</f>
        <v/>
      </c>
      <c r="F201" s="49" t="n"/>
      <c r="G201" s="36">
        <f>IF($I201="","",_xlfn.XLOOKUP($I201,'Item Master'!$A$4:$A$53,'Item Master'!$F$4:$F$53,0))</f>
        <v/>
      </c>
      <c r="H201" s="50">
        <f>IF($I201="","",$K201*$G201)</f>
        <v/>
      </c>
      <c r="I201" s="51">
        <f>IF($D201="","",IF(COUNTIF('Item Master'!$A$4:$A$53,$D201)&gt;0,$D201,_xlfn.XLOOKUP($D201,'Item Master'!$B$4:$B$53,'Item Master'!$A$4:$A$53,"")))</f>
        <v/>
      </c>
      <c r="J201" s="51">
        <f>IF($I201="","",$C201&amp;"|"&amp;COUNTIFS($C$9:$C201,$C201,$I$9:$I201,"?*"))</f>
        <v/>
      </c>
      <c r="K201" s="52">
        <f>IF($I201="","",IF($F201="",1,$F201))</f>
        <v/>
      </c>
    </row>
    <row r="202" ht="32" customHeight="1">
      <c r="A202" s="46" t="n"/>
      <c r="B202" s="47" t="n"/>
      <c r="C202" s="48">
        <f>IF($D202="","",IF(OR($A202="x",ROW()=9),Settings!$C$14&amp;TEXT(1000+COUNTIF($A$9:$A202,"x")+IF($A$9&lt;&gt;"x",1,0),"0000"),$C201))</f>
        <v/>
      </c>
      <c r="D202" s="46" t="n"/>
      <c r="E202" s="31">
        <f>IF($D202="","",IF($I202="","⚠️ Unknown code",_xlfn.XLOOKUP($I202,'Item Master'!$A$4:$A$53,'Item Master'!$C$4:$C$53,"")))</f>
        <v/>
      </c>
      <c r="F202" s="49" t="n"/>
      <c r="G202" s="36">
        <f>IF($I202="","",_xlfn.XLOOKUP($I202,'Item Master'!$A$4:$A$53,'Item Master'!$F$4:$F$53,0))</f>
        <v/>
      </c>
      <c r="H202" s="50">
        <f>IF($I202="","",$K202*$G202)</f>
        <v/>
      </c>
      <c r="I202" s="51">
        <f>IF($D202="","",IF(COUNTIF('Item Master'!$A$4:$A$53,$D202)&gt;0,$D202,_xlfn.XLOOKUP($D202,'Item Master'!$B$4:$B$53,'Item Master'!$A$4:$A$53,"")))</f>
        <v/>
      </c>
      <c r="J202" s="51">
        <f>IF($I202="","",$C202&amp;"|"&amp;COUNTIFS($C$9:$C202,$C202,$I$9:$I202,"?*"))</f>
        <v/>
      </c>
      <c r="K202" s="52">
        <f>IF($I202="","",IF($F202="",1,$F202))</f>
        <v/>
      </c>
    </row>
    <row r="203" ht="32" customHeight="1">
      <c r="A203" s="46" t="n"/>
      <c r="B203" s="47" t="n"/>
      <c r="C203" s="48">
        <f>IF($D203="","",IF(OR($A203="x",ROW()=9),Settings!$C$14&amp;TEXT(1000+COUNTIF($A$9:$A203,"x")+IF($A$9&lt;&gt;"x",1,0),"0000"),$C202))</f>
        <v/>
      </c>
      <c r="D203" s="46" t="n"/>
      <c r="E203" s="31">
        <f>IF($D203="","",IF($I203="","⚠️ Unknown code",_xlfn.XLOOKUP($I203,'Item Master'!$A$4:$A$53,'Item Master'!$C$4:$C$53,"")))</f>
        <v/>
      </c>
      <c r="F203" s="49" t="n"/>
      <c r="G203" s="36">
        <f>IF($I203="","",_xlfn.XLOOKUP($I203,'Item Master'!$A$4:$A$53,'Item Master'!$F$4:$F$53,0))</f>
        <v/>
      </c>
      <c r="H203" s="50">
        <f>IF($I203="","",$K203*$G203)</f>
        <v/>
      </c>
      <c r="I203" s="51">
        <f>IF($D203="","",IF(COUNTIF('Item Master'!$A$4:$A$53,$D203)&gt;0,$D203,_xlfn.XLOOKUP($D203,'Item Master'!$B$4:$B$53,'Item Master'!$A$4:$A$53,"")))</f>
        <v/>
      </c>
      <c r="J203" s="51">
        <f>IF($I203="","",$C203&amp;"|"&amp;COUNTIFS($C$9:$C203,$C203,$I$9:$I203,"?*"))</f>
        <v/>
      </c>
      <c r="K203" s="52">
        <f>IF($I203="","",IF($F203="",1,$F203))</f>
        <v/>
      </c>
    </row>
    <row r="204" ht="32" customHeight="1">
      <c r="A204" s="46" t="n"/>
      <c r="B204" s="47" t="n"/>
      <c r="C204" s="48">
        <f>IF($D204="","",IF(OR($A204="x",ROW()=9),Settings!$C$14&amp;TEXT(1000+COUNTIF($A$9:$A204,"x")+IF($A$9&lt;&gt;"x",1,0),"0000"),$C203))</f>
        <v/>
      </c>
      <c r="D204" s="46" t="n"/>
      <c r="E204" s="31">
        <f>IF($D204="","",IF($I204="","⚠️ Unknown code",_xlfn.XLOOKUP($I204,'Item Master'!$A$4:$A$53,'Item Master'!$C$4:$C$53,"")))</f>
        <v/>
      </c>
      <c r="F204" s="49" t="n"/>
      <c r="G204" s="36">
        <f>IF($I204="","",_xlfn.XLOOKUP($I204,'Item Master'!$A$4:$A$53,'Item Master'!$F$4:$F$53,0))</f>
        <v/>
      </c>
      <c r="H204" s="50">
        <f>IF($I204="","",$K204*$G204)</f>
        <v/>
      </c>
      <c r="I204" s="51">
        <f>IF($D204="","",IF(COUNTIF('Item Master'!$A$4:$A$53,$D204)&gt;0,$D204,_xlfn.XLOOKUP($D204,'Item Master'!$B$4:$B$53,'Item Master'!$A$4:$A$53,"")))</f>
        <v/>
      </c>
      <c r="J204" s="51">
        <f>IF($I204="","",$C204&amp;"|"&amp;COUNTIFS($C$9:$C204,$C204,$I$9:$I204,"?*"))</f>
        <v/>
      </c>
      <c r="K204" s="52">
        <f>IF($I204="","",IF($F204="",1,$F204))</f>
        <v/>
      </c>
    </row>
    <row r="205" ht="32" customHeight="1">
      <c r="A205" s="46" t="n"/>
      <c r="B205" s="47" t="n"/>
      <c r="C205" s="48">
        <f>IF($D205="","",IF(OR($A205="x",ROW()=9),Settings!$C$14&amp;TEXT(1000+COUNTIF($A$9:$A205,"x")+IF($A$9&lt;&gt;"x",1,0),"0000"),$C204))</f>
        <v/>
      </c>
      <c r="D205" s="46" t="n"/>
      <c r="E205" s="31">
        <f>IF($D205="","",IF($I205="","⚠️ Unknown code",_xlfn.XLOOKUP($I205,'Item Master'!$A$4:$A$53,'Item Master'!$C$4:$C$53,"")))</f>
        <v/>
      </c>
      <c r="F205" s="49" t="n"/>
      <c r="G205" s="36">
        <f>IF($I205="","",_xlfn.XLOOKUP($I205,'Item Master'!$A$4:$A$53,'Item Master'!$F$4:$F$53,0))</f>
        <v/>
      </c>
      <c r="H205" s="50">
        <f>IF($I205="","",$K205*$G205)</f>
        <v/>
      </c>
      <c r="I205" s="51">
        <f>IF($D205="","",IF(COUNTIF('Item Master'!$A$4:$A$53,$D205)&gt;0,$D205,_xlfn.XLOOKUP($D205,'Item Master'!$B$4:$B$53,'Item Master'!$A$4:$A$53,"")))</f>
        <v/>
      </c>
      <c r="J205" s="51">
        <f>IF($I205="","",$C205&amp;"|"&amp;COUNTIFS($C$9:$C205,$C205,$I$9:$I205,"?*"))</f>
        <v/>
      </c>
      <c r="K205" s="52">
        <f>IF($I205="","",IF($F205="",1,$F205))</f>
        <v/>
      </c>
    </row>
    <row r="206" ht="32" customHeight="1">
      <c r="A206" s="46" t="n"/>
      <c r="B206" s="47" t="n"/>
      <c r="C206" s="48">
        <f>IF($D206="","",IF(OR($A206="x",ROW()=9),Settings!$C$14&amp;TEXT(1000+COUNTIF($A$9:$A206,"x")+IF($A$9&lt;&gt;"x",1,0),"0000"),$C205))</f>
        <v/>
      </c>
      <c r="D206" s="46" t="n"/>
      <c r="E206" s="31">
        <f>IF($D206="","",IF($I206="","⚠️ Unknown code",_xlfn.XLOOKUP($I206,'Item Master'!$A$4:$A$53,'Item Master'!$C$4:$C$53,"")))</f>
        <v/>
      </c>
      <c r="F206" s="49" t="n"/>
      <c r="G206" s="36">
        <f>IF($I206="","",_xlfn.XLOOKUP($I206,'Item Master'!$A$4:$A$53,'Item Master'!$F$4:$F$53,0))</f>
        <v/>
      </c>
      <c r="H206" s="50">
        <f>IF($I206="","",$K206*$G206)</f>
        <v/>
      </c>
      <c r="I206" s="51">
        <f>IF($D206="","",IF(COUNTIF('Item Master'!$A$4:$A$53,$D206)&gt;0,$D206,_xlfn.XLOOKUP($D206,'Item Master'!$B$4:$B$53,'Item Master'!$A$4:$A$53,"")))</f>
        <v/>
      </c>
      <c r="J206" s="51">
        <f>IF($I206="","",$C206&amp;"|"&amp;COUNTIFS($C$9:$C206,$C206,$I$9:$I206,"?*"))</f>
        <v/>
      </c>
      <c r="K206" s="52">
        <f>IF($I206="","",IF($F206="",1,$F206))</f>
        <v/>
      </c>
    </row>
    <row r="207" ht="32" customHeight="1">
      <c r="A207" s="46" t="n"/>
      <c r="B207" s="47" t="n"/>
      <c r="C207" s="48">
        <f>IF($D207="","",IF(OR($A207="x",ROW()=9),Settings!$C$14&amp;TEXT(1000+COUNTIF($A$9:$A207,"x")+IF($A$9&lt;&gt;"x",1,0),"0000"),$C206))</f>
        <v/>
      </c>
      <c r="D207" s="46" t="n"/>
      <c r="E207" s="31">
        <f>IF($D207="","",IF($I207="","⚠️ Unknown code",_xlfn.XLOOKUP($I207,'Item Master'!$A$4:$A$53,'Item Master'!$C$4:$C$53,"")))</f>
        <v/>
      </c>
      <c r="F207" s="49" t="n"/>
      <c r="G207" s="36">
        <f>IF($I207="","",_xlfn.XLOOKUP($I207,'Item Master'!$A$4:$A$53,'Item Master'!$F$4:$F$53,0))</f>
        <v/>
      </c>
      <c r="H207" s="50">
        <f>IF($I207="","",$K207*$G207)</f>
        <v/>
      </c>
      <c r="I207" s="51">
        <f>IF($D207="","",IF(COUNTIF('Item Master'!$A$4:$A$53,$D207)&gt;0,$D207,_xlfn.XLOOKUP($D207,'Item Master'!$B$4:$B$53,'Item Master'!$A$4:$A$53,"")))</f>
        <v/>
      </c>
      <c r="J207" s="51">
        <f>IF($I207="","",$C207&amp;"|"&amp;COUNTIFS($C$9:$C207,$C207,$I$9:$I207,"?*"))</f>
        <v/>
      </c>
      <c r="K207" s="52">
        <f>IF($I207="","",IF($F207="",1,$F207))</f>
        <v/>
      </c>
    </row>
    <row r="208" ht="32" customHeight="1">
      <c r="A208" s="46" t="n"/>
      <c r="B208" s="47" t="n"/>
      <c r="C208" s="48">
        <f>IF($D208="","",IF(OR($A208="x",ROW()=9),Settings!$C$14&amp;TEXT(1000+COUNTIF($A$9:$A208,"x")+IF($A$9&lt;&gt;"x",1,0),"0000"),$C207))</f>
        <v/>
      </c>
      <c r="D208" s="46" t="n"/>
      <c r="E208" s="31">
        <f>IF($D208="","",IF($I208="","⚠️ Unknown code",_xlfn.XLOOKUP($I208,'Item Master'!$A$4:$A$53,'Item Master'!$C$4:$C$53,"")))</f>
        <v/>
      </c>
      <c r="F208" s="49" t="n"/>
      <c r="G208" s="36">
        <f>IF($I208="","",_xlfn.XLOOKUP($I208,'Item Master'!$A$4:$A$53,'Item Master'!$F$4:$F$53,0))</f>
        <v/>
      </c>
      <c r="H208" s="50">
        <f>IF($I208="","",$K208*$G208)</f>
        <v/>
      </c>
      <c r="I208" s="51">
        <f>IF($D208="","",IF(COUNTIF('Item Master'!$A$4:$A$53,$D208)&gt;0,$D208,_xlfn.XLOOKUP($D208,'Item Master'!$B$4:$B$53,'Item Master'!$A$4:$A$53,"")))</f>
        <v/>
      </c>
      <c r="J208" s="51">
        <f>IF($I208="","",$C208&amp;"|"&amp;COUNTIFS($C$9:$C208,$C208,$I$9:$I208,"?*"))</f>
        <v/>
      </c>
      <c r="K208" s="52">
        <f>IF($I208="","",IF($F208="",1,$F208))</f>
        <v/>
      </c>
    </row>
    <row r="209" ht="32" customHeight="1">
      <c r="A209" s="46" t="n"/>
      <c r="B209" s="47" t="n"/>
      <c r="C209" s="48">
        <f>IF($D209="","",IF(OR($A209="x",ROW()=9),Settings!$C$14&amp;TEXT(1000+COUNTIF($A$9:$A209,"x")+IF($A$9&lt;&gt;"x",1,0),"0000"),$C208))</f>
        <v/>
      </c>
      <c r="D209" s="46" t="n"/>
      <c r="E209" s="31">
        <f>IF($D209="","",IF($I209="","⚠️ Unknown code",_xlfn.XLOOKUP($I209,'Item Master'!$A$4:$A$53,'Item Master'!$C$4:$C$53,"")))</f>
        <v/>
      </c>
      <c r="F209" s="49" t="n"/>
      <c r="G209" s="36">
        <f>IF($I209="","",_xlfn.XLOOKUP($I209,'Item Master'!$A$4:$A$53,'Item Master'!$F$4:$F$53,0))</f>
        <v/>
      </c>
      <c r="H209" s="50">
        <f>IF($I209="","",$K209*$G209)</f>
        <v/>
      </c>
      <c r="I209" s="51">
        <f>IF($D209="","",IF(COUNTIF('Item Master'!$A$4:$A$53,$D209)&gt;0,$D209,_xlfn.XLOOKUP($D209,'Item Master'!$B$4:$B$53,'Item Master'!$A$4:$A$53,"")))</f>
        <v/>
      </c>
      <c r="J209" s="51">
        <f>IF($I209="","",$C209&amp;"|"&amp;COUNTIFS($C$9:$C209,$C209,$I$9:$I209,"?*"))</f>
        <v/>
      </c>
      <c r="K209" s="52">
        <f>IF($I209="","",IF($F209="",1,$F209))</f>
        <v/>
      </c>
    </row>
    <row r="210" ht="32" customHeight="1">
      <c r="A210" s="46" t="n"/>
      <c r="B210" s="47" t="n"/>
      <c r="C210" s="48">
        <f>IF($D210="","",IF(OR($A210="x",ROW()=9),Settings!$C$14&amp;TEXT(1000+COUNTIF($A$9:$A210,"x")+IF($A$9&lt;&gt;"x",1,0),"0000"),$C209))</f>
        <v/>
      </c>
      <c r="D210" s="46" t="n"/>
      <c r="E210" s="31">
        <f>IF($D210="","",IF($I210="","⚠️ Unknown code",_xlfn.XLOOKUP($I210,'Item Master'!$A$4:$A$53,'Item Master'!$C$4:$C$53,"")))</f>
        <v/>
      </c>
      <c r="F210" s="49" t="n"/>
      <c r="G210" s="36">
        <f>IF($I210="","",_xlfn.XLOOKUP($I210,'Item Master'!$A$4:$A$53,'Item Master'!$F$4:$F$53,0))</f>
        <v/>
      </c>
      <c r="H210" s="50">
        <f>IF($I210="","",$K210*$G210)</f>
        <v/>
      </c>
      <c r="I210" s="51">
        <f>IF($D210="","",IF(COUNTIF('Item Master'!$A$4:$A$53,$D210)&gt;0,$D210,_xlfn.XLOOKUP($D210,'Item Master'!$B$4:$B$53,'Item Master'!$A$4:$A$53,"")))</f>
        <v/>
      </c>
      <c r="J210" s="51">
        <f>IF($I210="","",$C210&amp;"|"&amp;COUNTIFS($C$9:$C210,$C210,$I$9:$I210,"?*"))</f>
        <v/>
      </c>
      <c r="K210" s="52">
        <f>IF($I210="","",IF($F210="",1,$F210))</f>
        <v/>
      </c>
    </row>
    <row r="211" ht="32" customHeight="1">
      <c r="A211" s="46" t="n"/>
      <c r="B211" s="47" t="n"/>
      <c r="C211" s="48">
        <f>IF($D211="","",IF(OR($A211="x",ROW()=9),Settings!$C$14&amp;TEXT(1000+COUNTIF($A$9:$A211,"x")+IF($A$9&lt;&gt;"x",1,0),"0000"),$C210))</f>
        <v/>
      </c>
      <c r="D211" s="46" t="n"/>
      <c r="E211" s="31">
        <f>IF($D211="","",IF($I211="","⚠️ Unknown code",_xlfn.XLOOKUP($I211,'Item Master'!$A$4:$A$53,'Item Master'!$C$4:$C$53,"")))</f>
        <v/>
      </c>
      <c r="F211" s="49" t="n"/>
      <c r="G211" s="36">
        <f>IF($I211="","",_xlfn.XLOOKUP($I211,'Item Master'!$A$4:$A$53,'Item Master'!$F$4:$F$53,0))</f>
        <v/>
      </c>
      <c r="H211" s="50">
        <f>IF($I211="","",$K211*$G211)</f>
        <v/>
      </c>
      <c r="I211" s="51">
        <f>IF($D211="","",IF(COUNTIF('Item Master'!$A$4:$A$53,$D211)&gt;0,$D211,_xlfn.XLOOKUP($D211,'Item Master'!$B$4:$B$53,'Item Master'!$A$4:$A$53,"")))</f>
        <v/>
      </c>
      <c r="J211" s="51">
        <f>IF($I211="","",$C211&amp;"|"&amp;COUNTIFS($C$9:$C211,$C211,$I$9:$I211,"?*"))</f>
        <v/>
      </c>
      <c r="K211" s="52">
        <f>IF($I211="","",IF($F211="",1,$F211))</f>
        <v/>
      </c>
    </row>
    <row r="212" ht="32" customHeight="1">
      <c r="A212" s="46" t="n"/>
      <c r="B212" s="47" t="n"/>
      <c r="C212" s="48">
        <f>IF($D212="","",IF(OR($A212="x",ROW()=9),Settings!$C$14&amp;TEXT(1000+COUNTIF($A$9:$A212,"x")+IF($A$9&lt;&gt;"x",1,0),"0000"),$C211))</f>
        <v/>
      </c>
      <c r="D212" s="46" t="n"/>
      <c r="E212" s="31">
        <f>IF($D212="","",IF($I212="","⚠️ Unknown code",_xlfn.XLOOKUP($I212,'Item Master'!$A$4:$A$53,'Item Master'!$C$4:$C$53,"")))</f>
        <v/>
      </c>
      <c r="F212" s="49" t="n"/>
      <c r="G212" s="36">
        <f>IF($I212="","",_xlfn.XLOOKUP($I212,'Item Master'!$A$4:$A$53,'Item Master'!$F$4:$F$53,0))</f>
        <v/>
      </c>
      <c r="H212" s="50">
        <f>IF($I212="","",$K212*$G212)</f>
        <v/>
      </c>
      <c r="I212" s="51">
        <f>IF($D212="","",IF(COUNTIF('Item Master'!$A$4:$A$53,$D212)&gt;0,$D212,_xlfn.XLOOKUP($D212,'Item Master'!$B$4:$B$53,'Item Master'!$A$4:$A$53,"")))</f>
        <v/>
      </c>
      <c r="J212" s="51">
        <f>IF($I212="","",$C212&amp;"|"&amp;COUNTIFS($C$9:$C212,$C212,$I$9:$I212,"?*"))</f>
        <v/>
      </c>
      <c r="K212" s="52">
        <f>IF($I212="","",IF($F212="",1,$F212))</f>
        <v/>
      </c>
    </row>
    <row r="213" ht="32" customHeight="1">
      <c r="A213" s="46" t="n"/>
      <c r="B213" s="47" t="n"/>
      <c r="C213" s="48">
        <f>IF($D213="","",IF(OR($A213="x",ROW()=9),Settings!$C$14&amp;TEXT(1000+COUNTIF($A$9:$A213,"x")+IF($A$9&lt;&gt;"x",1,0),"0000"),$C212))</f>
        <v/>
      </c>
      <c r="D213" s="46" t="n"/>
      <c r="E213" s="31">
        <f>IF($D213="","",IF($I213="","⚠️ Unknown code",_xlfn.XLOOKUP($I213,'Item Master'!$A$4:$A$53,'Item Master'!$C$4:$C$53,"")))</f>
        <v/>
      </c>
      <c r="F213" s="49" t="n"/>
      <c r="G213" s="36">
        <f>IF($I213="","",_xlfn.XLOOKUP($I213,'Item Master'!$A$4:$A$53,'Item Master'!$F$4:$F$53,0))</f>
        <v/>
      </c>
      <c r="H213" s="50">
        <f>IF($I213="","",$K213*$G213)</f>
        <v/>
      </c>
      <c r="I213" s="51">
        <f>IF($D213="","",IF(COUNTIF('Item Master'!$A$4:$A$53,$D213)&gt;0,$D213,_xlfn.XLOOKUP($D213,'Item Master'!$B$4:$B$53,'Item Master'!$A$4:$A$53,"")))</f>
        <v/>
      </c>
      <c r="J213" s="51">
        <f>IF($I213="","",$C213&amp;"|"&amp;COUNTIFS($C$9:$C213,$C213,$I$9:$I213,"?*"))</f>
        <v/>
      </c>
      <c r="K213" s="52">
        <f>IF($I213="","",IF($F213="",1,$F213))</f>
        <v/>
      </c>
    </row>
    <row r="214" ht="32" customHeight="1">
      <c r="A214" s="46" t="n"/>
      <c r="B214" s="47" t="n"/>
      <c r="C214" s="48">
        <f>IF($D214="","",IF(OR($A214="x",ROW()=9),Settings!$C$14&amp;TEXT(1000+COUNTIF($A$9:$A214,"x")+IF($A$9&lt;&gt;"x",1,0),"0000"),$C213))</f>
        <v/>
      </c>
      <c r="D214" s="46" t="n"/>
      <c r="E214" s="31">
        <f>IF($D214="","",IF($I214="","⚠️ Unknown code",_xlfn.XLOOKUP($I214,'Item Master'!$A$4:$A$53,'Item Master'!$C$4:$C$53,"")))</f>
        <v/>
      </c>
      <c r="F214" s="49" t="n"/>
      <c r="G214" s="36">
        <f>IF($I214="","",_xlfn.XLOOKUP($I214,'Item Master'!$A$4:$A$53,'Item Master'!$F$4:$F$53,0))</f>
        <v/>
      </c>
      <c r="H214" s="50">
        <f>IF($I214="","",$K214*$G214)</f>
        <v/>
      </c>
      <c r="I214" s="51">
        <f>IF($D214="","",IF(COUNTIF('Item Master'!$A$4:$A$53,$D214)&gt;0,$D214,_xlfn.XLOOKUP($D214,'Item Master'!$B$4:$B$53,'Item Master'!$A$4:$A$53,"")))</f>
        <v/>
      </c>
      <c r="J214" s="51">
        <f>IF($I214="","",$C214&amp;"|"&amp;COUNTIFS($C$9:$C214,$C214,$I$9:$I214,"?*"))</f>
        <v/>
      </c>
      <c r="K214" s="52">
        <f>IF($I214="","",IF($F214="",1,$F214))</f>
        <v/>
      </c>
    </row>
    <row r="215" ht="32" customHeight="1">
      <c r="A215" s="46" t="n"/>
      <c r="B215" s="47" t="n"/>
      <c r="C215" s="48">
        <f>IF($D215="","",IF(OR($A215="x",ROW()=9),Settings!$C$14&amp;TEXT(1000+COUNTIF($A$9:$A215,"x")+IF($A$9&lt;&gt;"x",1,0),"0000"),$C214))</f>
        <v/>
      </c>
      <c r="D215" s="46" t="n"/>
      <c r="E215" s="31">
        <f>IF($D215="","",IF($I215="","⚠️ Unknown code",_xlfn.XLOOKUP($I215,'Item Master'!$A$4:$A$53,'Item Master'!$C$4:$C$53,"")))</f>
        <v/>
      </c>
      <c r="F215" s="49" t="n"/>
      <c r="G215" s="36">
        <f>IF($I215="","",_xlfn.XLOOKUP($I215,'Item Master'!$A$4:$A$53,'Item Master'!$F$4:$F$53,0))</f>
        <v/>
      </c>
      <c r="H215" s="50">
        <f>IF($I215="","",$K215*$G215)</f>
        <v/>
      </c>
      <c r="I215" s="51">
        <f>IF($D215="","",IF(COUNTIF('Item Master'!$A$4:$A$53,$D215)&gt;0,$D215,_xlfn.XLOOKUP($D215,'Item Master'!$B$4:$B$53,'Item Master'!$A$4:$A$53,"")))</f>
        <v/>
      </c>
      <c r="J215" s="51">
        <f>IF($I215="","",$C215&amp;"|"&amp;COUNTIFS($C$9:$C215,$C215,$I$9:$I215,"?*"))</f>
        <v/>
      </c>
      <c r="K215" s="52">
        <f>IF($I215="","",IF($F215="",1,$F215))</f>
        <v/>
      </c>
    </row>
    <row r="216" ht="32" customHeight="1">
      <c r="A216" s="46" t="n"/>
      <c r="B216" s="47" t="n"/>
      <c r="C216" s="48">
        <f>IF($D216="","",IF(OR($A216="x",ROW()=9),Settings!$C$14&amp;TEXT(1000+COUNTIF($A$9:$A216,"x")+IF($A$9&lt;&gt;"x",1,0),"0000"),$C215))</f>
        <v/>
      </c>
      <c r="D216" s="46" t="n"/>
      <c r="E216" s="31">
        <f>IF($D216="","",IF($I216="","⚠️ Unknown code",_xlfn.XLOOKUP($I216,'Item Master'!$A$4:$A$53,'Item Master'!$C$4:$C$53,"")))</f>
        <v/>
      </c>
      <c r="F216" s="49" t="n"/>
      <c r="G216" s="36">
        <f>IF($I216="","",_xlfn.XLOOKUP($I216,'Item Master'!$A$4:$A$53,'Item Master'!$F$4:$F$53,0))</f>
        <v/>
      </c>
      <c r="H216" s="50">
        <f>IF($I216="","",$K216*$G216)</f>
        <v/>
      </c>
      <c r="I216" s="51">
        <f>IF($D216="","",IF(COUNTIF('Item Master'!$A$4:$A$53,$D216)&gt;0,$D216,_xlfn.XLOOKUP($D216,'Item Master'!$B$4:$B$53,'Item Master'!$A$4:$A$53,"")))</f>
        <v/>
      </c>
      <c r="J216" s="51">
        <f>IF($I216="","",$C216&amp;"|"&amp;COUNTIFS($C$9:$C216,$C216,$I$9:$I216,"?*"))</f>
        <v/>
      </c>
      <c r="K216" s="52">
        <f>IF($I216="","",IF($F216="",1,$F216))</f>
        <v/>
      </c>
    </row>
    <row r="217" ht="32" customHeight="1">
      <c r="A217" s="46" t="n"/>
      <c r="B217" s="47" t="n"/>
      <c r="C217" s="48">
        <f>IF($D217="","",IF(OR($A217="x",ROW()=9),Settings!$C$14&amp;TEXT(1000+COUNTIF($A$9:$A217,"x")+IF($A$9&lt;&gt;"x",1,0),"0000"),$C216))</f>
        <v/>
      </c>
      <c r="D217" s="46" t="n"/>
      <c r="E217" s="31">
        <f>IF($D217="","",IF($I217="","⚠️ Unknown code",_xlfn.XLOOKUP($I217,'Item Master'!$A$4:$A$53,'Item Master'!$C$4:$C$53,"")))</f>
        <v/>
      </c>
      <c r="F217" s="49" t="n"/>
      <c r="G217" s="36">
        <f>IF($I217="","",_xlfn.XLOOKUP($I217,'Item Master'!$A$4:$A$53,'Item Master'!$F$4:$F$53,0))</f>
        <v/>
      </c>
      <c r="H217" s="50">
        <f>IF($I217="","",$K217*$G217)</f>
        <v/>
      </c>
      <c r="I217" s="51">
        <f>IF($D217="","",IF(COUNTIF('Item Master'!$A$4:$A$53,$D217)&gt;0,$D217,_xlfn.XLOOKUP($D217,'Item Master'!$B$4:$B$53,'Item Master'!$A$4:$A$53,"")))</f>
        <v/>
      </c>
      <c r="J217" s="51">
        <f>IF($I217="","",$C217&amp;"|"&amp;COUNTIFS($C$9:$C217,$C217,$I$9:$I217,"?*"))</f>
        <v/>
      </c>
      <c r="K217" s="52">
        <f>IF($I217="","",IF($F217="",1,$F217))</f>
        <v/>
      </c>
    </row>
    <row r="218" ht="32" customHeight="1">
      <c r="A218" s="46" t="n"/>
      <c r="B218" s="47" t="n"/>
      <c r="C218" s="48">
        <f>IF($D218="","",IF(OR($A218="x",ROW()=9),Settings!$C$14&amp;TEXT(1000+COUNTIF($A$9:$A218,"x")+IF($A$9&lt;&gt;"x",1,0),"0000"),$C217))</f>
        <v/>
      </c>
      <c r="D218" s="46" t="n"/>
      <c r="E218" s="31">
        <f>IF($D218="","",IF($I218="","⚠️ Unknown code",_xlfn.XLOOKUP($I218,'Item Master'!$A$4:$A$53,'Item Master'!$C$4:$C$53,"")))</f>
        <v/>
      </c>
      <c r="F218" s="49" t="n"/>
      <c r="G218" s="36">
        <f>IF($I218="","",_xlfn.XLOOKUP($I218,'Item Master'!$A$4:$A$53,'Item Master'!$F$4:$F$53,0))</f>
        <v/>
      </c>
      <c r="H218" s="50">
        <f>IF($I218="","",$K218*$G218)</f>
        <v/>
      </c>
      <c r="I218" s="51">
        <f>IF($D218="","",IF(COUNTIF('Item Master'!$A$4:$A$53,$D218)&gt;0,$D218,_xlfn.XLOOKUP($D218,'Item Master'!$B$4:$B$53,'Item Master'!$A$4:$A$53,"")))</f>
        <v/>
      </c>
      <c r="J218" s="51">
        <f>IF($I218="","",$C218&amp;"|"&amp;COUNTIFS($C$9:$C218,$C218,$I$9:$I218,"?*"))</f>
        <v/>
      </c>
      <c r="K218" s="52">
        <f>IF($I218="","",IF($F218="",1,$F218))</f>
        <v/>
      </c>
    </row>
    <row r="219" ht="32" customHeight="1">
      <c r="A219" s="46" t="n"/>
      <c r="B219" s="47" t="n"/>
      <c r="C219" s="48">
        <f>IF($D219="","",IF(OR($A219="x",ROW()=9),Settings!$C$14&amp;TEXT(1000+COUNTIF($A$9:$A219,"x")+IF($A$9&lt;&gt;"x",1,0),"0000"),$C218))</f>
        <v/>
      </c>
      <c r="D219" s="46" t="n"/>
      <c r="E219" s="31">
        <f>IF($D219="","",IF($I219="","⚠️ Unknown code",_xlfn.XLOOKUP($I219,'Item Master'!$A$4:$A$53,'Item Master'!$C$4:$C$53,"")))</f>
        <v/>
      </c>
      <c r="F219" s="49" t="n"/>
      <c r="G219" s="36">
        <f>IF($I219="","",_xlfn.XLOOKUP($I219,'Item Master'!$A$4:$A$53,'Item Master'!$F$4:$F$53,0))</f>
        <v/>
      </c>
      <c r="H219" s="50">
        <f>IF($I219="","",$K219*$G219)</f>
        <v/>
      </c>
      <c r="I219" s="51">
        <f>IF($D219="","",IF(COUNTIF('Item Master'!$A$4:$A$53,$D219)&gt;0,$D219,_xlfn.XLOOKUP($D219,'Item Master'!$B$4:$B$53,'Item Master'!$A$4:$A$53,"")))</f>
        <v/>
      </c>
      <c r="J219" s="51">
        <f>IF($I219="","",$C219&amp;"|"&amp;COUNTIFS($C$9:$C219,$C219,$I$9:$I219,"?*"))</f>
        <v/>
      </c>
      <c r="K219" s="52">
        <f>IF($I219="","",IF($F219="",1,$F219))</f>
        <v/>
      </c>
    </row>
    <row r="220" ht="32" customHeight="1">
      <c r="A220" s="46" t="n"/>
      <c r="B220" s="47" t="n"/>
      <c r="C220" s="48">
        <f>IF($D220="","",IF(OR($A220="x",ROW()=9),Settings!$C$14&amp;TEXT(1000+COUNTIF($A$9:$A220,"x")+IF($A$9&lt;&gt;"x",1,0),"0000"),$C219))</f>
        <v/>
      </c>
      <c r="D220" s="46" t="n"/>
      <c r="E220" s="31">
        <f>IF($D220="","",IF($I220="","⚠️ Unknown code",_xlfn.XLOOKUP($I220,'Item Master'!$A$4:$A$53,'Item Master'!$C$4:$C$53,"")))</f>
        <v/>
      </c>
      <c r="F220" s="49" t="n"/>
      <c r="G220" s="36">
        <f>IF($I220="","",_xlfn.XLOOKUP($I220,'Item Master'!$A$4:$A$53,'Item Master'!$F$4:$F$53,0))</f>
        <v/>
      </c>
      <c r="H220" s="50">
        <f>IF($I220="","",$K220*$G220)</f>
        <v/>
      </c>
      <c r="I220" s="51">
        <f>IF($D220="","",IF(COUNTIF('Item Master'!$A$4:$A$53,$D220)&gt;0,$D220,_xlfn.XLOOKUP($D220,'Item Master'!$B$4:$B$53,'Item Master'!$A$4:$A$53,"")))</f>
        <v/>
      </c>
      <c r="J220" s="51">
        <f>IF($I220="","",$C220&amp;"|"&amp;COUNTIFS($C$9:$C220,$C220,$I$9:$I220,"?*"))</f>
        <v/>
      </c>
      <c r="K220" s="52">
        <f>IF($I220="","",IF($F220="",1,$F220))</f>
        <v/>
      </c>
    </row>
    <row r="221" ht="32" customHeight="1">
      <c r="A221" s="46" t="n"/>
      <c r="B221" s="47" t="n"/>
      <c r="C221" s="48">
        <f>IF($D221="","",IF(OR($A221="x",ROW()=9),Settings!$C$14&amp;TEXT(1000+COUNTIF($A$9:$A221,"x")+IF($A$9&lt;&gt;"x",1,0),"0000"),$C220))</f>
        <v/>
      </c>
      <c r="D221" s="46" t="n"/>
      <c r="E221" s="31">
        <f>IF($D221="","",IF($I221="","⚠️ Unknown code",_xlfn.XLOOKUP($I221,'Item Master'!$A$4:$A$53,'Item Master'!$C$4:$C$53,"")))</f>
        <v/>
      </c>
      <c r="F221" s="49" t="n"/>
      <c r="G221" s="36">
        <f>IF($I221="","",_xlfn.XLOOKUP($I221,'Item Master'!$A$4:$A$53,'Item Master'!$F$4:$F$53,0))</f>
        <v/>
      </c>
      <c r="H221" s="50">
        <f>IF($I221="","",$K221*$G221)</f>
        <v/>
      </c>
      <c r="I221" s="51">
        <f>IF($D221="","",IF(COUNTIF('Item Master'!$A$4:$A$53,$D221)&gt;0,$D221,_xlfn.XLOOKUP($D221,'Item Master'!$B$4:$B$53,'Item Master'!$A$4:$A$53,"")))</f>
        <v/>
      </c>
      <c r="J221" s="51">
        <f>IF($I221="","",$C221&amp;"|"&amp;COUNTIFS($C$9:$C221,$C221,$I$9:$I221,"?*"))</f>
        <v/>
      </c>
      <c r="K221" s="52">
        <f>IF($I221="","",IF($F221="",1,$F221))</f>
        <v/>
      </c>
    </row>
    <row r="222" ht="32" customHeight="1">
      <c r="A222" s="46" t="n"/>
      <c r="B222" s="47" t="n"/>
      <c r="C222" s="48">
        <f>IF($D222="","",IF(OR($A222="x",ROW()=9),Settings!$C$14&amp;TEXT(1000+COUNTIF($A$9:$A222,"x")+IF($A$9&lt;&gt;"x",1,0),"0000"),$C221))</f>
        <v/>
      </c>
      <c r="D222" s="46" t="n"/>
      <c r="E222" s="31">
        <f>IF($D222="","",IF($I222="","⚠️ Unknown code",_xlfn.XLOOKUP($I222,'Item Master'!$A$4:$A$53,'Item Master'!$C$4:$C$53,"")))</f>
        <v/>
      </c>
      <c r="F222" s="49" t="n"/>
      <c r="G222" s="36">
        <f>IF($I222="","",_xlfn.XLOOKUP($I222,'Item Master'!$A$4:$A$53,'Item Master'!$F$4:$F$53,0))</f>
        <v/>
      </c>
      <c r="H222" s="50">
        <f>IF($I222="","",$K222*$G222)</f>
        <v/>
      </c>
      <c r="I222" s="51">
        <f>IF($D222="","",IF(COUNTIF('Item Master'!$A$4:$A$53,$D222)&gt;0,$D222,_xlfn.XLOOKUP($D222,'Item Master'!$B$4:$B$53,'Item Master'!$A$4:$A$53,"")))</f>
        <v/>
      </c>
      <c r="J222" s="51">
        <f>IF($I222="","",$C222&amp;"|"&amp;COUNTIFS($C$9:$C222,$C222,$I$9:$I222,"?*"))</f>
        <v/>
      </c>
      <c r="K222" s="52">
        <f>IF($I222="","",IF($F222="",1,$F222))</f>
        <v/>
      </c>
    </row>
    <row r="223" ht="32" customHeight="1">
      <c r="A223" s="46" t="n"/>
      <c r="B223" s="47" t="n"/>
      <c r="C223" s="48">
        <f>IF($D223="","",IF(OR($A223="x",ROW()=9),Settings!$C$14&amp;TEXT(1000+COUNTIF($A$9:$A223,"x")+IF($A$9&lt;&gt;"x",1,0),"0000"),$C222))</f>
        <v/>
      </c>
      <c r="D223" s="46" t="n"/>
      <c r="E223" s="31">
        <f>IF($D223="","",IF($I223="","⚠️ Unknown code",_xlfn.XLOOKUP($I223,'Item Master'!$A$4:$A$53,'Item Master'!$C$4:$C$53,"")))</f>
        <v/>
      </c>
      <c r="F223" s="49" t="n"/>
      <c r="G223" s="36">
        <f>IF($I223="","",_xlfn.XLOOKUP($I223,'Item Master'!$A$4:$A$53,'Item Master'!$F$4:$F$53,0))</f>
        <v/>
      </c>
      <c r="H223" s="50">
        <f>IF($I223="","",$K223*$G223)</f>
        <v/>
      </c>
      <c r="I223" s="51">
        <f>IF($D223="","",IF(COUNTIF('Item Master'!$A$4:$A$53,$D223)&gt;0,$D223,_xlfn.XLOOKUP($D223,'Item Master'!$B$4:$B$53,'Item Master'!$A$4:$A$53,"")))</f>
        <v/>
      </c>
      <c r="J223" s="51">
        <f>IF($I223="","",$C223&amp;"|"&amp;COUNTIFS($C$9:$C223,$C223,$I$9:$I223,"?*"))</f>
        <v/>
      </c>
      <c r="K223" s="52">
        <f>IF($I223="","",IF($F223="",1,$F223))</f>
        <v/>
      </c>
    </row>
    <row r="224" ht="32" customHeight="1">
      <c r="A224" s="46" t="n"/>
      <c r="B224" s="47" t="n"/>
      <c r="C224" s="48">
        <f>IF($D224="","",IF(OR($A224="x",ROW()=9),Settings!$C$14&amp;TEXT(1000+COUNTIF($A$9:$A224,"x")+IF($A$9&lt;&gt;"x",1,0),"0000"),$C223))</f>
        <v/>
      </c>
      <c r="D224" s="46" t="n"/>
      <c r="E224" s="31">
        <f>IF($D224="","",IF($I224="","⚠️ Unknown code",_xlfn.XLOOKUP($I224,'Item Master'!$A$4:$A$53,'Item Master'!$C$4:$C$53,"")))</f>
        <v/>
      </c>
      <c r="F224" s="49" t="n"/>
      <c r="G224" s="36">
        <f>IF($I224="","",_xlfn.XLOOKUP($I224,'Item Master'!$A$4:$A$53,'Item Master'!$F$4:$F$53,0))</f>
        <v/>
      </c>
      <c r="H224" s="50">
        <f>IF($I224="","",$K224*$G224)</f>
        <v/>
      </c>
      <c r="I224" s="51">
        <f>IF($D224="","",IF(COUNTIF('Item Master'!$A$4:$A$53,$D224)&gt;0,$D224,_xlfn.XLOOKUP($D224,'Item Master'!$B$4:$B$53,'Item Master'!$A$4:$A$53,"")))</f>
        <v/>
      </c>
      <c r="J224" s="51">
        <f>IF($I224="","",$C224&amp;"|"&amp;COUNTIFS($C$9:$C224,$C224,$I$9:$I224,"?*"))</f>
        <v/>
      </c>
      <c r="K224" s="52">
        <f>IF($I224="","",IF($F224="",1,$F224))</f>
        <v/>
      </c>
    </row>
    <row r="225" ht="32" customHeight="1">
      <c r="A225" s="46" t="n"/>
      <c r="B225" s="47" t="n"/>
      <c r="C225" s="48">
        <f>IF($D225="","",IF(OR($A225="x",ROW()=9),Settings!$C$14&amp;TEXT(1000+COUNTIF($A$9:$A225,"x")+IF($A$9&lt;&gt;"x",1,0),"0000"),$C224))</f>
        <v/>
      </c>
      <c r="D225" s="46" t="n"/>
      <c r="E225" s="31">
        <f>IF($D225="","",IF($I225="","⚠️ Unknown code",_xlfn.XLOOKUP($I225,'Item Master'!$A$4:$A$53,'Item Master'!$C$4:$C$53,"")))</f>
        <v/>
      </c>
      <c r="F225" s="49" t="n"/>
      <c r="G225" s="36">
        <f>IF($I225="","",_xlfn.XLOOKUP($I225,'Item Master'!$A$4:$A$53,'Item Master'!$F$4:$F$53,0))</f>
        <v/>
      </c>
      <c r="H225" s="50">
        <f>IF($I225="","",$K225*$G225)</f>
        <v/>
      </c>
      <c r="I225" s="51">
        <f>IF($D225="","",IF(COUNTIF('Item Master'!$A$4:$A$53,$D225)&gt;0,$D225,_xlfn.XLOOKUP($D225,'Item Master'!$B$4:$B$53,'Item Master'!$A$4:$A$53,"")))</f>
        <v/>
      </c>
      <c r="J225" s="51">
        <f>IF($I225="","",$C225&amp;"|"&amp;COUNTIFS($C$9:$C225,$C225,$I$9:$I225,"?*"))</f>
        <v/>
      </c>
      <c r="K225" s="52">
        <f>IF($I225="","",IF($F225="",1,$F225))</f>
        <v/>
      </c>
    </row>
    <row r="226" ht="32" customHeight="1">
      <c r="A226" s="46" t="n"/>
      <c r="B226" s="47" t="n"/>
      <c r="C226" s="48">
        <f>IF($D226="","",IF(OR($A226="x",ROW()=9),Settings!$C$14&amp;TEXT(1000+COUNTIF($A$9:$A226,"x")+IF($A$9&lt;&gt;"x",1,0),"0000"),$C225))</f>
        <v/>
      </c>
      <c r="D226" s="46" t="n"/>
      <c r="E226" s="31">
        <f>IF($D226="","",IF($I226="","⚠️ Unknown code",_xlfn.XLOOKUP($I226,'Item Master'!$A$4:$A$53,'Item Master'!$C$4:$C$53,"")))</f>
        <v/>
      </c>
      <c r="F226" s="49" t="n"/>
      <c r="G226" s="36">
        <f>IF($I226="","",_xlfn.XLOOKUP($I226,'Item Master'!$A$4:$A$53,'Item Master'!$F$4:$F$53,0))</f>
        <v/>
      </c>
      <c r="H226" s="50">
        <f>IF($I226="","",$K226*$G226)</f>
        <v/>
      </c>
      <c r="I226" s="51">
        <f>IF($D226="","",IF(COUNTIF('Item Master'!$A$4:$A$53,$D226)&gt;0,$D226,_xlfn.XLOOKUP($D226,'Item Master'!$B$4:$B$53,'Item Master'!$A$4:$A$53,"")))</f>
        <v/>
      </c>
      <c r="J226" s="51">
        <f>IF($I226="","",$C226&amp;"|"&amp;COUNTIFS($C$9:$C226,$C226,$I$9:$I226,"?*"))</f>
        <v/>
      </c>
      <c r="K226" s="52">
        <f>IF($I226="","",IF($F226="",1,$F226))</f>
        <v/>
      </c>
    </row>
    <row r="227" ht="32" customHeight="1">
      <c r="A227" s="46" t="n"/>
      <c r="B227" s="47" t="n"/>
      <c r="C227" s="48">
        <f>IF($D227="","",IF(OR($A227="x",ROW()=9),Settings!$C$14&amp;TEXT(1000+COUNTIF($A$9:$A227,"x")+IF($A$9&lt;&gt;"x",1,0),"0000"),$C226))</f>
        <v/>
      </c>
      <c r="D227" s="46" t="n"/>
      <c r="E227" s="31">
        <f>IF($D227="","",IF($I227="","⚠️ Unknown code",_xlfn.XLOOKUP($I227,'Item Master'!$A$4:$A$53,'Item Master'!$C$4:$C$53,"")))</f>
        <v/>
      </c>
      <c r="F227" s="49" t="n"/>
      <c r="G227" s="36">
        <f>IF($I227="","",_xlfn.XLOOKUP($I227,'Item Master'!$A$4:$A$53,'Item Master'!$F$4:$F$53,0))</f>
        <v/>
      </c>
      <c r="H227" s="50">
        <f>IF($I227="","",$K227*$G227)</f>
        <v/>
      </c>
      <c r="I227" s="51">
        <f>IF($D227="","",IF(COUNTIF('Item Master'!$A$4:$A$53,$D227)&gt;0,$D227,_xlfn.XLOOKUP($D227,'Item Master'!$B$4:$B$53,'Item Master'!$A$4:$A$53,"")))</f>
        <v/>
      </c>
      <c r="J227" s="51">
        <f>IF($I227="","",$C227&amp;"|"&amp;COUNTIFS($C$9:$C227,$C227,$I$9:$I227,"?*"))</f>
        <v/>
      </c>
      <c r="K227" s="52">
        <f>IF($I227="","",IF($F227="",1,$F227))</f>
        <v/>
      </c>
    </row>
    <row r="228" ht="32" customHeight="1">
      <c r="A228" s="46" t="n"/>
      <c r="B228" s="47" t="n"/>
      <c r="C228" s="48">
        <f>IF($D228="","",IF(OR($A228="x",ROW()=9),Settings!$C$14&amp;TEXT(1000+COUNTIF($A$9:$A228,"x")+IF($A$9&lt;&gt;"x",1,0),"0000"),$C227))</f>
        <v/>
      </c>
      <c r="D228" s="46" t="n"/>
      <c r="E228" s="31">
        <f>IF($D228="","",IF($I228="","⚠️ Unknown code",_xlfn.XLOOKUP($I228,'Item Master'!$A$4:$A$53,'Item Master'!$C$4:$C$53,"")))</f>
        <v/>
      </c>
      <c r="F228" s="49" t="n"/>
      <c r="G228" s="36">
        <f>IF($I228="","",_xlfn.XLOOKUP($I228,'Item Master'!$A$4:$A$53,'Item Master'!$F$4:$F$53,0))</f>
        <v/>
      </c>
      <c r="H228" s="50">
        <f>IF($I228="","",$K228*$G228)</f>
        <v/>
      </c>
      <c r="I228" s="51">
        <f>IF($D228="","",IF(COUNTIF('Item Master'!$A$4:$A$53,$D228)&gt;0,$D228,_xlfn.XLOOKUP($D228,'Item Master'!$B$4:$B$53,'Item Master'!$A$4:$A$53,"")))</f>
        <v/>
      </c>
      <c r="J228" s="51">
        <f>IF($I228="","",$C228&amp;"|"&amp;COUNTIFS($C$9:$C228,$C228,$I$9:$I228,"?*"))</f>
        <v/>
      </c>
      <c r="K228" s="52">
        <f>IF($I228="","",IF($F228="",1,$F228))</f>
        <v/>
      </c>
    </row>
    <row r="229" ht="32" customHeight="1">
      <c r="A229" s="46" t="n"/>
      <c r="B229" s="47" t="n"/>
      <c r="C229" s="48">
        <f>IF($D229="","",IF(OR($A229="x",ROW()=9),Settings!$C$14&amp;TEXT(1000+COUNTIF($A$9:$A229,"x")+IF($A$9&lt;&gt;"x",1,0),"0000"),$C228))</f>
        <v/>
      </c>
      <c r="D229" s="46" t="n"/>
      <c r="E229" s="31">
        <f>IF($D229="","",IF($I229="","⚠️ Unknown code",_xlfn.XLOOKUP($I229,'Item Master'!$A$4:$A$53,'Item Master'!$C$4:$C$53,"")))</f>
        <v/>
      </c>
      <c r="F229" s="49" t="n"/>
      <c r="G229" s="36">
        <f>IF($I229="","",_xlfn.XLOOKUP($I229,'Item Master'!$A$4:$A$53,'Item Master'!$F$4:$F$53,0))</f>
        <v/>
      </c>
      <c r="H229" s="50">
        <f>IF($I229="","",$K229*$G229)</f>
        <v/>
      </c>
      <c r="I229" s="51">
        <f>IF($D229="","",IF(COUNTIF('Item Master'!$A$4:$A$53,$D229)&gt;0,$D229,_xlfn.XLOOKUP($D229,'Item Master'!$B$4:$B$53,'Item Master'!$A$4:$A$53,"")))</f>
        <v/>
      </c>
      <c r="J229" s="51">
        <f>IF($I229="","",$C229&amp;"|"&amp;COUNTIFS($C$9:$C229,$C229,$I$9:$I229,"?*"))</f>
        <v/>
      </c>
      <c r="K229" s="52">
        <f>IF($I229="","",IF($F229="",1,$F229))</f>
        <v/>
      </c>
    </row>
    <row r="230" ht="32" customHeight="1">
      <c r="A230" s="46" t="n"/>
      <c r="B230" s="47" t="n"/>
      <c r="C230" s="48">
        <f>IF($D230="","",IF(OR($A230="x",ROW()=9),Settings!$C$14&amp;TEXT(1000+COUNTIF($A$9:$A230,"x")+IF($A$9&lt;&gt;"x",1,0),"0000"),$C229))</f>
        <v/>
      </c>
      <c r="D230" s="46" t="n"/>
      <c r="E230" s="31">
        <f>IF($D230="","",IF($I230="","⚠️ Unknown code",_xlfn.XLOOKUP($I230,'Item Master'!$A$4:$A$53,'Item Master'!$C$4:$C$53,"")))</f>
        <v/>
      </c>
      <c r="F230" s="49" t="n"/>
      <c r="G230" s="36">
        <f>IF($I230="","",_xlfn.XLOOKUP($I230,'Item Master'!$A$4:$A$53,'Item Master'!$F$4:$F$53,0))</f>
        <v/>
      </c>
      <c r="H230" s="50">
        <f>IF($I230="","",$K230*$G230)</f>
        <v/>
      </c>
      <c r="I230" s="51">
        <f>IF($D230="","",IF(COUNTIF('Item Master'!$A$4:$A$53,$D230)&gt;0,$D230,_xlfn.XLOOKUP($D230,'Item Master'!$B$4:$B$53,'Item Master'!$A$4:$A$53,"")))</f>
        <v/>
      </c>
      <c r="J230" s="51">
        <f>IF($I230="","",$C230&amp;"|"&amp;COUNTIFS($C$9:$C230,$C230,$I$9:$I230,"?*"))</f>
        <v/>
      </c>
      <c r="K230" s="52">
        <f>IF($I230="","",IF($F230="",1,$F230))</f>
        <v/>
      </c>
    </row>
    <row r="231" ht="32" customHeight="1">
      <c r="A231" s="46" t="n"/>
      <c r="B231" s="47" t="n"/>
      <c r="C231" s="48">
        <f>IF($D231="","",IF(OR($A231="x",ROW()=9),Settings!$C$14&amp;TEXT(1000+COUNTIF($A$9:$A231,"x")+IF($A$9&lt;&gt;"x",1,0),"0000"),$C230))</f>
        <v/>
      </c>
      <c r="D231" s="46" t="n"/>
      <c r="E231" s="31">
        <f>IF($D231="","",IF($I231="","⚠️ Unknown code",_xlfn.XLOOKUP($I231,'Item Master'!$A$4:$A$53,'Item Master'!$C$4:$C$53,"")))</f>
        <v/>
      </c>
      <c r="F231" s="49" t="n"/>
      <c r="G231" s="36">
        <f>IF($I231="","",_xlfn.XLOOKUP($I231,'Item Master'!$A$4:$A$53,'Item Master'!$F$4:$F$53,0))</f>
        <v/>
      </c>
      <c r="H231" s="50">
        <f>IF($I231="","",$K231*$G231)</f>
        <v/>
      </c>
      <c r="I231" s="51">
        <f>IF($D231="","",IF(COUNTIF('Item Master'!$A$4:$A$53,$D231)&gt;0,$D231,_xlfn.XLOOKUP($D231,'Item Master'!$B$4:$B$53,'Item Master'!$A$4:$A$53,"")))</f>
        <v/>
      </c>
      <c r="J231" s="51">
        <f>IF($I231="","",$C231&amp;"|"&amp;COUNTIFS($C$9:$C231,$C231,$I$9:$I231,"?*"))</f>
        <v/>
      </c>
      <c r="K231" s="52">
        <f>IF($I231="","",IF($F231="",1,$F231))</f>
        <v/>
      </c>
    </row>
    <row r="232" ht="32" customHeight="1">
      <c r="A232" s="46" t="n"/>
      <c r="B232" s="47" t="n"/>
      <c r="C232" s="48">
        <f>IF($D232="","",IF(OR($A232="x",ROW()=9),Settings!$C$14&amp;TEXT(1000+COUNTIF($A$9:$A232,"x")+IF($A$9&lt;&gt;"x",1,0),"0000"),$C231))</f>
        <v/>
      </c>
      <c r="D232" s="46" t="n"/>
      <c r="E232" s="31">
        <f>IF($D232="","",IF($I232="","⚠️ Unknown code",_xlfn.XLOOKUP($I232,'Item Master'!$A$4:$A$53,'Item Master'!$C$4:$C$53,"")))</f>
        <v/>
      </c>
      <c r="F232" s="49" t="n"/>
      <c r="G232" s="36">
        <f>IF($I232="","",_xlfn.XLOOKUP($I232,'Item Master'!$A$4:$A$53,'Item Master'!$F$4:$F$53,0))</f>
        <v/>
      </c>
      <c r="H232" s="50">
        <f>IF($I232="","",$K232*$G232)</f>
        <v/>
      </c>
      <c r="I232" s="51">
        <f>IF($D232="","",IF(COUNTIF('Item Master'!$A$4:$A$53,$D232)&gt;0,$D232,_xlfn.XLOOKUP($D232,'Item Master'!$B$4:$B$53,'Item Master'!$A$4:$A$53,"")))</f>
        <v/>
      </c>
      <c r="J232" s="51">
        <f>IF($I232="","",$C232&amp;"|"&amp;COUNTIFS($C$9:$C232,$C232,$I$9:$I232,"?*"))</f>
        <v/>
      </c>
      <c r="K232" s="52">
        <f>IF($I232="","",IF($F232="",1,$F232))</f>
        <v/>
      </c>
    </row>
    <row r="233" ht="32" customHeight="1">
      <c r="A233" s="46" t="n"/>
      <c r="B233" s="47" t="n"/>
      <c r="C233" s="48">
        <f>IF($D233="","",IF(OR($A233="x",ROW()=9),Settings!$C$14&amp;TEXT(1000+COUNTIF($A$9:$A233,"x")+IF($A$9&lt;&gt;"x",1,0),"0000"),$C232))</f>
        <v/>
      </c>
      <c r="D233" s="46" t="n"/>
      <c r="E233" s="31">
        <f>IF($D233="","",IF($I233="","⚠️ Unknown code",_xlfn.XLOOKUP($I233,'Item Master'!$A$4:$A$53,'Item Master'!$C$4:$C$53,"")))</f>
        <v/>
      </c>
      <c r="F233" s="49" t="n"/>
      <c r="G233" s="36">
        <f>IF($I233="","",_xlfn.XLOOKUP($I233,'Item Master'!$A$4:$A$53,'Item Master'!$F$4:$F$53,0))</f>
        <v/>
      </c>
      <c r="H233" s="50">
        <f>IF($I233="","",$K233*$G233)</f>
        <v/>
      </c>
      <c r="I233" s="51">
        <f>IF($D233="","",IF(COUNTIF('Item Master'!$A$4:$A$53,$D233)&gt;0,$D233,_xlfn.XLOOKUP($D233,'Item Master'!$B$4:$B$53,'Item Master'!$A$4:$A$53,"")))</f>
        <v/>
      </c>
      <c r="J233" s="51">
        <f>IF($I233="","",$C233&amp;"|"&amp;COUNTIFS($C$9:$C233,$C233,$I$9:$I233,"?*"))</f>
        <v/>
      </c>
      <c r="K233" s="52">
        <f>IF($I233="","",IF($F233="",1,$F233))</f>
        <v/>
      </c>
    </row>
    <row r="234" ht="32" customHeight="1">
      <c r="A234" s="46" t="n"/>
      <c r="B234" s="47" t="n"/>
      <c r="C234" s="48">
        <f>IF($D234="","",IF(OR($A234="x",ROW()=9),Settings!$C$14&amp;TEXT(1000+COUNTIF($A$9:$A234,"x")+IF($A$9&lt;&gt;"x",1,0),"0000"),$C233))</f>
        <v/>
      </c>
      <c r="D234" s="46" t="n"/>
      <c r="E234" s="31">
        <f>IF($D234="","",IF($I234="","⚠️ Unknown code",_xlfn.XLOOKUP($I234,'Item Master'!$A$4:$A$53,'Item Master'!$C$4:$C$53,"")))</f>
        <v/>
      </c>
      <c r="F234" s="49" t="n"/>
      <c r="G234" s="36">
        <f>IF($I234="","",_xlfn.XLOOKUP($I234,'Item Master'!$A$4:$A$53,'Item Master'!$F$4:$F$53,0))</f>
        <v/>
      </c>
      <c r="H234" s="50">
        <f>IF($I234="","",$K234*$G234)</f>
        <v/>
      </c>
      <c r="I234" s="51">
        <f>IF($D234="","",IF(COUNTIF('Item Master'!$A$4:$A$53,$D234)&gt;0,$D234,_xlfn.XLOOKUP($D234,'Item Master'!$B$4:$B$53,'Item Master'!$A$4:$A$53,"")))</f>
        <v/>
      </c>
      <c r="J234" s="51">
        <f>IF($I234="","",$C234&amp;"|"&amp;COUNTIFS($C$9:$C234,$C234,$I$9:$I234,"?*"))</f>
        <v/>
      </c>
      <c r="K234" s="52">
        <f>IF($I234="","",IF($F234="",1,$F234))</f>
        <v/>
      </c>
    </row>
    <row r="235" ht="32" customHeight="1">
      <c r="A235" s="46" t="n"/>
      <c r="B235" s="47" t="n"/>
      <c r="C235" s="48">
        <f>IF($D235="","",IF(OR($A235="x",ROW()=9),Settings!$C$14&amp;TEXT(1000+COUNTIF($A$9:$A235,"x")+IF($A$9&lt;&gt;"x",1,0),"0000"),$C234))</f>
        <v/>
      </c>
      <c r="D235" s="46" t="n"/>
      <c r="E235" s="31">
        <f>IF($D235="","",IF($I235="","⚠️ Unknown code",_xlfn.XLOOKUP($I235,'Item Master'!$A$4:$A$53,'Item Master'!$C$4:$C$53,"")))</f>
        <v/>
      </c>
      <c r="F235" s="49" t="n"/>
      <c r="G235" s="36">
        <f>IF($I235="","",_xlfn.XLOOKUP($I235,'Item Master'!$A$4:$A$53,'Item Master'!$F$4:$F$53,0))</f>
        <v/>
      </c>
      <c r="H235" s="50">
        <f>IF($I235="","",$K235*$G235)</f>
        <v/>
      </c>
      <c r="I235" s="51">
        <f>IF($D235="","",IF(COUNTIF('Item Master'!$A$4:$A$53,$D235)&gt;0,$D235,_xlfn.XLOOKUP($D235,'Item Master'!$B$4:$B$53,'Item Master'!$A$4:$A$53,"")))</f>
        <v/>
      </c>
      <c r="J235" s="51">
        <f>IF($I235="","",$C235&amp;"|"&amp;COUNTIFS($C$9:$C235,$C235,$I$9:$I235,"?*"))</f>
        <v/>
      </c>
      <c r="K235" s="52">
        <f>IF($I235="","",IF($F235="",1,$F235))</f>
        <v/>
      </c>
    </row>
    <row r="236" ht="32" customHeight="1">
      <c r="A236" s="46" t="n"/>
      <c r="B236" s="47" t="n"/>
      <c r="C236" s="48">
        <f>IF($D236="","",IF(OR($A236="x",ROW()=9),Settings!$C$14&amp;TEXT(1000+COUNTIF($A$9:$A236,"x")+IF($A$9&lt;&gt;"x",1,0),"0000"),$C235))</f>
        <v/>
      </c>
      <c r="D236" s="46" t="n"/>
      <c r="E236" s="31">
        <f>IF($D236="","",IF($I236="","⚠️ Unknown code",_xlfn.XLOOKUP($I236,'Item Master'!$A$4:$A$53,'Item Master'!$C$4:$C$53,"")))</f>
        <v/>
      </c>
      <c r="F236" s="49" t="n"/>
      <c r="G236" s="36">
        <f>IF($I236="","",_xlfn.XLOOKUP($I236,'Item Master'!$A$4:$A$53,'Item Master'!$F$4:$F$53,0))</f>
        <v/>
      </c>
      <c r="H236" s="50">
        <f>IF($I236="","",$K236*$G236)</f>
        <v/>
      </c>
      <c r="I236" s="51">
        <f>IF($D236="","",IF(COUNTIF('Item Master'!$A$4:$A$53,$D236)&gt;0,$D236,_xlfn.XLOOKUP($D236,'Item Master'!$B$4:$B$53,'Item Master'!$A$4:$A$53,"")))</f>
        <v/>
      </c>
      <c r="J236" s="51">
        <f>IF($I236="","",$C236&amp;"|"&amp;COUNTIFS($C$9:$C236,$C236,$I$9:$I236,"?*"))</f>
        <v/>
      </c>
      <c r="K236" s="52">
        <f>IF($I236="","",IF($F236="",1,$F236))</f>
        <v/>
      </c>
    </row>
    <row r="237" ht="32" customHeight="1">
      <c r="A237" s="46" t="n"/>
      <c r="B237" s="47" t="n"/>
      <c r="C237" s="48">
        <f>IF($D237="","",IF(OR($A237="x",ROW()=9),Settings!$C$14&amp;TEXT(1000+COUNTIF($A$9:$A237,"x")+IF($A$9&lt;&gt;"x",1,0),"0000"),$C236))</f>
        <v/>
      </c>
      <c r="D237" s="46" t="n"/>
      <c r="E237" s="31">
        <f>IF($D237="","",IF($I237="","⚠️ Unknown code",_xlfn.XLOOKUP($I237,'Item Master'!$A$4:$A$53,'Item Master'!$C$4:$C$53,"")))</f>
        <v/>
      </c>
      <c r="F237" s="49" t="n"/>
      <c r="G237" s="36">
        <f>IF($I237="","",_xlfn.XLOOKUP($I237,'Item Master'!$A$4:$A$53,'Item Master'!$F$4:$F$53,0))</f>
        <v/>
      </c>
      <c r="H237" s="50">
        <f>IF($I237="","",$K237*$G237)</f>
        <v/>
      </c>
      <c r="I237" s="51">
        <f>IF($D237="","",IF(COUNTIF('Item Master'!$A$4:$A$53,$D237)&gt;0,$D237,_xlfn.XLOOKUP($D237,'Item Master'!$B$4:$B$53,'Item Master'!$A$4:$A$53,"")))</f>
        <v/>
      </c>
      <c r="J237" s="51">
        <f>IF($I237="","",$C237&amp;"|"&amp;COUNTIFS($C$9:$C237,$C237,$I$9:$I237,"?*"))</f>
        <v/>
      </c>
      <c r="K237" s="52">
        <f>IF($I237="","",IF($F237="",1,$F237))</f>
        <v/>
      </c>
    </row>
    <row r="238" ht="32" customHeight="1">
      <c r="A238" s="46" t="n"/>
      <c r="B238" s="47" t="n"/>
      <c r="C238" s="48">
        <f>IF($D238="","",IF(OR($A238="x",ROW()=9),Settings!$C$14&amp;TEXT(1000+COUNTIF($A$9:$A238,"x")+IF($A$9&lt;&gt;"x",1,0),"0000"),$C237))</f>
        <v/>
      </c>
      <c r="D238" s="46" t="n"/>
      <c r="E238" s="31">
        <f>IF($D238="","",IF($I238="","⚠️ Unknown code",_xlfn.XLOOKUP($I238,'Item Master'!$A$4:$A$53,'Item Master'!$C$4:$C$53,"")))</f>
        <v/>
      </c>
      <c r="F238" s="49" t="n"/>
      <c r="G238" s="36">
        <f>IF($I238="","",_xlfn.XLOOKUP($I238,'Item Master'!$A$4:$A$53,'Item Master'!$F$4:$F$53,0))</f>
        <v/>
      </c>
      <c r="H238" s="50">
        <f>IF($I238="","",$K238*$G238)</f>
        <v/>
      </c>
      <c r="I238" s="51">
        <f>IF($D238="","",IF(COUNTIF('Item Master'!$A$4:$A$53,$D238)&gt;0,$D238,_xlfn.XLOOKUP($D238,'Item Master'!$B$4:$B$53,'Item Master'!$A$4:$A$53,"")))</f>
        <v/>
      </c>
      <c r="J238" s="51">
        <f>IF($I238="","",$C238&amp;"|"&amp;COUNTIFS($C$9:$C238,$C238,$I$9:$I238,"?*"))</f>
        <v/>
      </c>
      <c r="K238" s="52">
        <f>IF($I238="","",IF($F238="",1,$F238))</f>
        <v/>
      </c>
    </row>
    <row r="239" ht="32" customHeight="1">
      <c r="A239" s="46" t="n"/>
      <c r="B239" s="47" t="n"/>
      <c r="C239" s="48">
        <f>IF($D239="","",IF(OR($A239="x",ROW()=9),Settings!$C$14&amp;TEXT(1000+COUNTIF($A$9:$A239,"x")+IF($A$9&lt;&gt;"x",1,0),"0000"),$C238))</f>
        <v/>
      </c>
      <c r="D239" s="46" t="n"/>
      <c r="E239" s="31">
        <f>IF($D239="","",IF($I239="","⚠️ Unknown code",_xlfn.XLOOKUP($I239,'Item Master'!$A$4:$A$53,'Item Master'!$C$4:$C$53,"")))</f>
        <v/>
      </c>
      <c r="F239" s="49" t="n"/>
      <c r="G239" s="36">
        <f>IF($I239="","",_xlfn.XLOOKUP($I239,'Item Master'!$A$4:$A$53,'Item Master'!$F$4:$F$53,0))</f>
        <v/>
      </c>
      <c r="H239" s="50">
        <f>IF($I239="","",$K239*$G239)</f>
        <v/>
      </c>
      <c r="I239" s="51">
        <f>IF($D239="","",IF(COUNTIF('Item Master'!$A$4:$A$53,$D239)&gt;0,$D239,_xlfn.XLOOKUP($D239,'Item Master'!$B$4:$B$53,'Item Master'!$A$4:$A$53,"")))</f>
        <v/>
      </c>
      <c r="J239" s="51">
        <f>IF($I239="","",$C239&amp;"|"&amp;COUNTIFS($C$9:$C239,$C239,$I$9:$I239,"?*"))</f>
        <v/>
      </c>
      <c r="K239" s="52">
        <f>IF($I239="","",IF($F239="",1,$F239))</f>
        <v/>
      </c>
    </row>
    <row r="240" ht="32" customHeight="1">
      <c r="A240" s="46" t="n"/>
      <c r="B240" s="47" t="n"/>
      <c r="C240" s="48">
        <f>IF($D240="","",IF(OR($A240="x",ROW()=9),Settings!$C$14&amp;TEXT(1000+COUNTIF($A$9:$A240,"x")+IF($A$9&lt;&gt;"x",1,0),"0000"),$C239))</f>
        <v/>
      </c>
      <c r="D240" s="46" t="n"/>
      <c r="E240" s="31">
        <f>IF($D240="","",IF($I240="","⚠️ Unknown code",_xlfn.XLOOKUP($I240,'Item Master'!$A$4:$A$53,'Item Master'!$C$4:$C$53,"")))</f>
        <v/>
      </c>
      <c r="F240" s="49" t="n"/>
      <c r="G240" s="36">
        <f>IF($I240="","",_xlfn.XLOOKUP($I240,'Item Master'!$A$4:$A$53,'Item Master'!$F$4:$F$53,0))</f>
        <v/>
      </c>
      <c r="H240" s="50">
        <f>IF($I240="","",$K240*$G240)</f>
        <v/>
      </c>
      <c r="I240" s="51">
        <f>IF($D240="","",IF(COUNTIF('Item Master'!$A$4:$A$53,$D240)&gt;0,$D240,_xlfn.XLOOKUP($D240,'Item Master'!$B$4:$B$53,'Item Master'!$A$4:$A$53,"")))</f>
        <v/>
      </c>
      <c r="J240" s="51">
        <f>IF($I240="","",$C240&amp;"|"&amp;COUNTIFS($C$9:$C240,$C240,$I$9:$I240,"?*"))</f>
        <v/>
      </c>
      <c r="K240" s="52">
        <f>IF($I240="","",IF($F240="",1,$F240))</f>
        <v/>
      </c>
    </row>
    <row r="241" ht="32" customHeight="1">
      <c r="A241" s="46" t="n"/>
      <c r="B241" s="47" t="n"/>
      <c r="C241" s="48">
        <f>IF($D241="","",IF(OR($A241="x",ROW()=9),Settings!$C$14&amp;TEXT(1000+COUNTIF($A$9:$A241,"x")+IF($A$9&lt;&gt;"x",1,0),"0000"),$C240))</f>
        <v/>
      </c>
      <c r="D241" s="46" t="n"/>
      <c r="E241" s="31">
        <f>IF($D241="","",IF($I241="","⚠️ Unknown code",_xlfn.XLOOKUP($I241,'Item Master'!$A$4:$A$53,'Item Master'!$C$4:$C$53,"")))</f>
        <v/>
      </c>
      <c r="F241" s="49" t="n"/>
      <c r="G241" s="36">
        <f>IF($I241="","",_xlfn.XLOOKUP($I241,'Item Master'!$A$4:$A$53,'Item Master'!$F$4:$F$53,0))</f>
        <v/>
      </c>
      <c r="H241" s="50">
        <f>IF($I241="","",$K241*$G241)</f>
        <v/>
      </c>
      <c r="I241" s="51">
        <f>IF($D241="","",IF(COUNTIF('Item Master'!$A$4:$A$53,$D241)&gt;0,$D241,_xlfn.XLOOKUP($D241,'Item Master'!$B$4:$B$53,'Item Master'!$A$4:$A$53,"")))</f>
        <v/>
      </c>
      <c r="J241" s="51">
        <f>IF($I241="","",$C241&amp;"|"&amp;COUNTIFS($C$9:$C241,$C241,$I$9:$I241,"?*"))</f>
        <v/>
      </c>
      <c r="K241" s="52">
        <f>IF($I241="","",IF($F241="",1,$F241))</f>
        <v/>
      </c>
    </row>
    <row r="242" ht="32" customHeight="1">
      <c r="A242" s="46" t="n"/>
      <c r="B242" s="47" t="n"/>
      <c r="C242" s="48">
        <f>IF($D242="","",IF(OR($A242="x",ROW()=9),Settings!$C$14&amp;TEXT(1000+COUNTIF($A$9:$A242,"x")+IF($A$9&lt;&gt;"x",1,0),"0000"),$C241))</f>
        <v/>
      </c>
      <c r="D242" s="46" t="n"/>
      <c r="E242" s="31">
        <f>IF($D242="","",IF($I242="","⚠️ Unknown code",_xlfn.XLOOKUP($I242,'Item Master'!$A$4:$A$53,'Item Master'!$C$4:$C$53,"")))</f>
        <v/>
      </c>
      <c r="F242" s="49" t="n"/>
      <c r="G242" s="36">
        <f>IF($I242="","",_xlfn.XLOOKUP($I242,'Item Master'!$A$4:$A$53,'Item Master'!$F$4:$F$53,0))</f>
        <v/>
      </c>
      <c r="H242" s="50">
        <f>IF($I242="","",$K242*$G242)</f>
        <v/>
      </c>
      <c r="I242" s="51">
        <f>IF($D242="","",IF(COUNTIF('Item Master'!$A$4:$A$53,$D242)&gt;0,$D242,_xlfn.XLOOKUP($D242,'Item Master'!$B$4:$B$53,'Item Master'!$A$4:$A$53,"")))</f>
        <v/>
      </c>
      <c r="J242" s="51">
        <f>IF($I242="","",$C242&amp;"|"&amp;COUNTIFS($C$9:$C242,$C242,$I$9:$I242,"?*"))</f>
        <v/>
      </c>
      <c r="K242" s="52">
        <f>IF($I242="","",IF($F242="",1,$F242))</f>
        <v/>
      </c>
    </row>
    <row r="243" ht="32" customHeight="1">
      <c r="A243" s="46" t="n"/>
      <c r="B243" s="47" t="n"/>
      <c r="C243" s="48">
        <f>IF($D243="","",IF(OR($A243="x",ROW()=9),Settings!$C$14&amp;TEXT(1000+COUNTIF($A$9:$A243,"x")+IF($A$9&lt;&gt;"x",1,0),"0000"),$C242))</f>
        <v/>
      </c>
      <c r="D243" s="46" t="n"/>
      <c r="E243" s="31">
        <f>IF($D243="","",IF($I243="","⚠️ Unknown code",_xlfn.XLOOKUP($I243,'Item Master'!$A$4:$A$53,'Item Master'!$C$4:$C$53,"")))</f>
        <v/>
      </c>
      <c r="F243" s="49" t="n"/>
      <c r="G243" s="36">
        <f>IF($I243="","",_xlfn.XLOOKUP($I243,'Item Master'!$A$4:$A$53,'Item Master'!$F$4:$F$53,0))</f>
        <v/>
      </c>
      <c r="H243" s="50">
        <f>IF($I243="","",$K243*$G243)</f>
        <v/>
      </c>
      <c r="I243" s="51">
        <f>IF($D243="","",IF(COUNTIF('Item Master'!$A$4:$A$53,$D243)&gt;0,$D243,_xlfn.XLOOKUP($D243,'Item Master'!$B$4:$B$53,'Item Master'!$A$4:$A$53,"")))</f>
        <v/>
      </c>
      <c r="J243" s="51">
        <f>IF($I243="","",$C243&amp;"|"&amp;COUNTIFS($C$9:$C243,$C243,$I$9:$I243,"?*"))</f>
        <v/>
      </c>
      <c r="K243" s="52">
        <f>IF($I243="","",IF($F243="",1,$F243))</f>
        <v/>
      </c>
    </row>
    <row r="244" ht="32" customHeight="1">
      <c r="A244" s="46" t="n"/>
      <c r="B244" s="47" t="n"/>
      <c r="C244" s="48">
        <f>IF($D244="","",IF(OR($A244="x",ROW()=9),Settings!$C$14&amp;TEXT(1000+COUNTIF($A$9:$A244,"x")+IF($A$9&lt;&gt;"x",1,0),"0000"),$C243))</f>
        <v/>
      </c>
      <c r="D244" s="46" t="n"/>
      <c r="E244" s="31">
        <f>IF($D244="","",IF($I244="","⚠️ Unknown code",_xlfn.XLOOKUP($I244,'Item Master'!$A$4:$A$53,'Item Master'!$C$4:$C$53,"")))</f>
        <v/>
      </c>
      <c r="F244" s="49" t="n"/>
      <c r="G244" s="36">
        <f>IF($I244="","",_xlfn.XLOOKUP($I244,'Item Master'!$A$4:$A$53,'Item Master'!$F$4:$F$53,0))</f>
        <v/>
      </c>
      <c r="H244" s="50">
        <f>IF($I244="","",$K244*$G244)</f>
        <v/>
      </c>
      <c r="I244" s="51">
        <f>IF($D244="","",IF(COUNTIF('Item Master'!$A$4:$A$53,$D244)&gt;0,$D244,_xlfn.XLOOKUP($D244,'Item Master'!$B$4:$B$53,'Item Master'!$A$4:$A$53,"")))</f>
        <v/>
      </c>
      <c r="J244" s="51">
        <f>IF($I244="","",$C244&amp;"|"&amp;COUNTIFS($C$9:$C244,$C244,$I$9:$I244,"?*"))</f>
        <v/>
      </c>
      <c r="K244" s="52">
        <f>IF($I244="","",IF($F244="",1,$F244))</f>
        <v/>
      </c>
    </row>
    <row r="245" ht="32" customHeight="1">
      <c r="A245" s="46" t="n"/>
      <c r="B245" s="47" t="n"/>
      <c r="C245" s="48">
        <f>IF($D245="","",IF(OR($A245="x",ROW()=9),Settings!$C$14&amp;TEXT(1000+COUNTIF($A$9:$A245,"x")+IF($A$9&lt;&gt;"x",1,0),"0000"),$C244))</f>
        <v/>
      </c>
      <c r="D245" s="46" t="n"/>
      <c r="E245" s="31">
        <f>IF($D245="","",IF($I245="","⚠️ Unknown code",_xlfn.XLOOKUP($I245,'Item Master'!$A$4:$A$53,'Item Master'!$C$4:$C$53,"")))</f>
        <v/>
      </c>
      <c r="F245" s="49" t="n"/>
      <c r="G245" s="36">
        <f>IF($I245="","",_xlfn.XLOOKUP($I245,'Item Master'!$A$4:$A$53,'Item Master'!$F$4:$F$53,0))</f>
        <v/>
      </c>
      <c r="H245" s="50">
        <f>IF($I245="","",$K245*$G245)</f>
        <v/>
      </c>
      <c r="I245" s="51">
        <f>IF($D245="","",IF(COUNTIF('Item Master'!$A$4:$A$53,$D245)&gt;0,$D245,_xlfn.XLOOKUP($D245,'Item Master'!$B$4:$B$53,'Item Master'!$A$4:$A$53,"")))</f>
        <v/>
      </c>
      <c r="J245" s="51">
        <f>IF($I245="","",$C245&amp;"|"&amp;COUNTIFS($C$9:$C245,$C245,$I$9:$I245,"?*"))</f>
        <v/>
      </c>
      <c r="K245" s="52">
        <f>IF($I245="","",IF($F245="",1,$F245))</f>
        <v/>
      </c>
    </row>
    <row r="246" ht="32" customHeight="1">
      <c r="A246" s="46" t="n"/>
      <c r="B246" s="47" t="n"/>
      <c r="C246" s="48">
        <f>IF($D246="","",IF(OR($A246="x",ROW()=9),Settings!$C$14&amp;TEXT(1000+COUNTIF($A$9:$A246,"x")+IF($A$9&lt;&gt;"x",1,0),"0000"),$C245))</f>
        <v/>
      </c>
      <c r="D246" s="46" t="n"/>
      <c r="E246" s="31">
        <f>IF($D246="","",IF($I246="","⚠️ Unknown code",_xlfn.XLOOKUP($I246,'Item Master'!$A$4:$A$53,'Item Master'!$C$4:$C$53,"")))</f>
        <v/>
      </c>
      <c r="F246" s="49" t="n"/>
      <c r="G246" s="36">
        <f>IF($I246="","",_xlfn.XLOOKUP($I246,'Item Master'!$A$4:$A$53,'Item Master'!$F$4:$F$53,0))</f>
        <v/>
      </c>
      <c r="H246" s="50">
        <f>IF($I246="","",$K246*$G246)</f>
        <v/>
      </c>
      <c r="I246" s="51">
        <f>IF($D246="","",IF(COUNTIF('Item Master'!$A$4:$A$53,$D246)&gt;0,$D246,_xlfn.XLOOKUP($D246,'Item Master'!$B$4:$B$53,'Item Master'!$A$4:$A$53,"")))</f>
        <v/>
      </c>
      <c r="J246" s="51">
        <f>IF($I246="","",$C246&amp;"|"&amp;COUNTIFS($C$9:$C246,$C246,$I$9:$I246,"?*"))</f>
        <v/>
      </c>
      <c r="K246" s="52">
        <f>IF($I246="","",IF($F246="",1,$F246))</f>
        <v/>
      </c>
    </row>
    <row r="247" ht="32" customHeight="1">
      <c r="A247" s="46" t="n"/>
      <c r="B247" s="47" t="n"/>
      <c r="C247" s="48">
        <f>IF($D247="","",IF(OR($A247="x",ROW()=9),Settings!$C$14&amp;TEXT(1000+COUNTIF($A$9:$A247,"x")+IF($A$9&lt;&gt;"x",1,0),"0000"),$C246))</f>
        <v/>
      </c>
      <c r="D247" s="46" t="n"/>
      <c r="E247" s="31">
        <f>IF($D247="","",IF($I247="","⚠️ Unknown code",_xlfn.XLOOKUP($I247,'Item Master'!$A$4:$A$53,'Item Master'!$C$4:$C$53,"")))</f>
        <v/>
      </c>
      <c r="F247" s="49" t="n"/>
      <c r="G247" s="36">
        <f>IF($I247="","",_xlfn.XLOOKUP($I247,'Item Master'!$A$4:$A$53,'Item Master'!$F$4:$F$53,0))</f>
        <v/>
      </c>
      <c r="H247" s="50">
        <f>IF($I247="","",$K247*$G247)</f>
        <v/>
      </c>
      <c r="I247" s="51">
        <f>IF($D247="","",IF(COUNTIF('Item Master'!$A$4:$A$53,$D247)&gt;0,$D247,_xlfn.XLOOKUP($D247,'Item Master'!$B$4:$B$53,'Item Master'!$A$4:$A$53,"")))</f>
        <v/>
      </c>
      <c r="J247" s="51">
        <f>IF($I247="","",$C247&amp;"|"&amp;COUNTIFS($C$9:$C247,$C247,$I$9:$I247,"?*"))</f>
        <v/>
      </c>
      <c r="K247" s="52">
        <f>IF($I247="","",IF($F247="",1,$F247))</f>
        <v/>
      </c>
    </row>
    <row r="248" ht="32" customHeight="1">
      <c r="A248" s="46" t="n"/>
      <c r="B248" s="47" t="n"/>
      <c r="C248" s="48">
        <f>IF($D248="","",IF(OR($A248="x",ROW()=9),Settings!$C$14&amp;TEXT(1000+COUNTIF($A$9:$A248,"x")+IF($A$9&lt;&gt;"x",1,0),"0000"),$C247))</f>
        <v/>
      </c>
      <c r="D248" s="46" t="n"/>
      <c r="E248" s="31">
        <f>IF($D248="","",IF($I248="","⚠️ Unknown code",_xlfn.XLOOKUP($I248,'Item Master'!$A$4:$A$53,'Item Master'!$C$4:$C$53,"")))</f>
        <v/>
      </c>
      <c r="F248" s="49" t="n"/>
      <c r="G248" s="36">
        <f>IF($I248="","",_xlfn.XLOOKUP($I248,'Item Master'!$A$4:$A$53,'Item Master'!$F$4:$F$53,0))</f>
        <v/>
      </c>
      <c r="H248" s="50">
        <f>IF($I248="","",$K248*$G248)</f>
        <v/>
      </c>
      <c r="I248" s="51">
        <f>IF($D248="","",IF(COUNTIF('Item Master'!$A$4:$A$53,$D248)&gt;0,$D248,_xlfn.XLOOKUP($D248,'Item Master'!$B$4:$B$53,'Item Master'!$A$4:$A$53,"")))</f>
        <v/>
      </c>
      <c r="J248" s="51">
        <f>IF($I248="","",$C248&amp;"|"&amp;COUNTIFS($C$9:$C248,$C248,$I$9:$I248,"?*"))</f>
        <v/>
      </c>
      <c r="K248" s="52">
        <f>IF($I248="","",IF($F248="",1,$F248))</f>
        <v/>
      </c>
    </row>
    <row r="249" ht="32" customHeight="1">
      <c r="A249" s="46" t="n"/>
      <c r="B249" s="47" t="n"/>
      <c r="C249" s="48">
        <f>IF($D249="","",IF(OR($A249="x",ROW()=9),Settings!$C$14&amp;TEXT(1000+COUNTIF($A$9:$A249,"x")+IF($A$9&lt;&gt;"x",1,0),"0000"),$C248))</f>
        <v/>
      </c>
      <c r="D249" s="46" t="n"/>
      <c r="E249" s="31">
        <f>IF($D249="","",IF($I249="","⚠️ Unknown code",_xlfn.XLOOKUP($I249,'Item Master'!$A$4:$A$53,'Item Master'!$C$4:$C$53,"")))</f>
        <v/>
      </c>
      <c r="F249" s="49" t="n"/>
      <c r="G249" s="36">
        <f>IF($I249="","",_xlfn.XLOOKUP($I249,'Item Master'!$A$4:$A$53,'Item Master'!$F$4:$F$53,0))</f>
        <v/>
      </c>
      <c r="H249" s="50">
        <f>IF($I249="","",$K249*$G249)</f>
        <v/>
      </c>
      <c r="I249" s="51">
        <f>IF($D249="","",IF(COUNTIF('Item Master'!$A$4:$A$53,$D249)&gt;0,$D249,_xlfn.XLOOKUP($D249,'Item Master'!$B$4:$B$53,'Item Master'!$A$4:$A$53,"")))</f>
        <v/>
      </c>
      <c r="J249" s="51">
        <f>IF($I249="","",$C249&amp;"|"&amp;COUNTIFS($C$9:$C249,$C249,$I$9:$I249,"?*"))</f>
        <v/>
      </c>
      <c r="K249" s="52">
        <f>IF($I249="","",IF($F249="",1,$F249))</f>
        <v/>
      </c>
    </row>
    <row r="250" ht="32" customHeight="1">
      <c r="A250" s="46" t="n"/>
      <c r="B250" s="47" t="n"/>
      <c r="C250" s="48">
        <f>IF($D250="","",IF(OR($A250="x",ROW()=9),Settings!$C$14&amp;TEXT(1000+COUNTIF($A$9:$A250,"x")+IF($A$9&lt;&gt;"x",1,0),"0000"),$C249))</f>
        <v/>
      </c>
      <c r="D250" s="46" t="n"/>
      <c r="E250" s="31">
        <f>IF($D250="","",IF($I250="","⚠️ Unknown code",_xlfn.XLOOKUP($I250,'Item Master'!$A$4:$A$53,'Item Master'!$C$4:$C$53,"")))</f>
        <v/>
      </c>
      <c r="F250" s="49" t="n"/>
      <c r="G250" s="36">
        <f>IF($I250="","",_xlfn.XLOOKUP($I250,'Item Master'!$A$4:$A$53,'Item Master'!$F$4:$F$53,0))</f>
        <v/>
      </c>
      <c r="H250" s="50">
        <f>IF($I250="","",$K250*$G250)</f>
        <v/>
      </c>
      <c r="I250" s="51">
        <f>IF($D250="","",IF(COUNTIF('Item Master'!$A$4:$A$53,$D250)&gt;0,$D250,_xlfn.XLOOKUP($D250,'Item Master'!$B$4:$B$53,'Item Master'!$A$4:$A$53,"")))</f>
        <v/>
      </c>
      <c r="J250" s="51">
        <f>IF($I250="","",$C250&amp;"|"&amp;COUNTIFS($C$9:$C250,$C250,$I$9:$I250,"?*"))</f>
        <v/>
      </c>
      <c r="K250" s="52">
        <f>IF($I250="","",IF($F250="",1,$F250))</f>
        <v/>
      </c>
    </row>
    <row r="251" ht="32" customHeight="1">
      <c r="A251" s="46" t="n"/>
      <c r="B251" s="47" t="n"/>
      <c r="C251" s="48">
        <f>IF($D251="","",IF(OR($A251="x",ROW()=9),Settings!$C$14&amp;TEXT(1000+COUNTIF($A$9:$A251,"x")+IF($A$9&lt;&gt;"x",1,0),"0000"),$C250))</f>
        <v/>
      </c>
      <c r="D251" s="46" t="n"/>
      <c r="E251" s="31">
        <f>IF($D251="","",IF($I251="","⚠️ Unknown code",_xlfn.XLOOKUP($I251,'Item Master'!$A$4:$A$53,'Item Master'!$C$4:$C$53,"")))</f>
        <v/>
      </c>
      <c r="F251" s="49" t="n"/>
      <c r="G251" s="36">
        <f>IF($I251="","",_xlfn.XLOOKUP($I251,'Item Master'!$A$4:$A$53,'Item Master'!$F$4:$F$53,0))</f>
        <v/>
      </c>
      <c r="H251" s="50">
        <f>IF($I251="","",$K251*$G251)</f>
        <v/>
      </c>
      <c r="I251" s="51">
        <f>IF($D251="","",IF(COUNTIF('Item Master'!$A$4:$A$53,$D251)&gt;0,$D251,_xlfn.XLOOKUP($D251,'Item Master'!$B$4:$B$53,'Item Master'!$A$4:$A$53,"")))</f>
        <v/>
      </c>
      <c r="J251" s="51">
        <f>IF($I251="","",$C251&amp;"|"&amp;COUNTIFS($C$9:$C251,$C251,$I$9:$I251,"?*"))</f>
        <v/>
      </c>
      <c r="K251" s="52">
        <f>IF($I251="","",IF($F251="",1,$F251))</f>
        <v/>
      </c>
    </row>
    <row r="252" ht="32" customHeight="1">
      <c r="A252" s="46" t="n"/>
      <c r="B252" s="47" t="n"/>
      <c r="C252" s="48">
        <f>IF($D252="","",IF(OR($A252="x",ROW()=9),Settings!$C$14&amp;TEXT(1000+COUNTIF($A$9:$A252,"x")+IF($A$9&lt;&gt;"x",1,0),"0000"),$C251))</f>
        <v/>
      </c>
      <c r="D252" s="46" t="n"/>
      <c r="E252" s="31">
        <f>IF($D252="","",IF($I252="","⚠️ Unknown code",_xlfn.XLOOKUP($I252,'Item Master'!$A$4:$A$53,'Item Master'!$C$4:$C$53,"")))</f>
        <v/>
      </c>
      <c r="F252" s="49" t="n"/>
      <c r="G252" s="36">
        <f>IF($I252="","",_xlfn.XLOOKUP($I252,'Item Master'!$A$4:$A$53,'Item Master'!$F$4:$F$53,0))</f>
        <v/>
      </c>
      <c r="H252" s="50">
        <f>IF($I252="","",$K252*$G252)</f>
        <v/>
      </c>
      <c r="I252" s="51">
        <f>IF($D252="","",IF(COUNTIF('Item Master'!$A$4:$A$53,$D252)&gt;0,$D252,_xlfn.XLOOKUP($D252,'Item Master'!$B$4:$B$53,'Item Master'!$A$4:$A$53,"")))</f>
        <v/>
      </c>
      <c r="J252" s="51">
        <f>IF($I252="","",$C252&amp;"|"&amp;COUNTIFS($C$9:$C252,$C252,$I$9:$I252,"?*"))</f>
        <v/>
      </c>
      <c r="K252" s="52">
        <f>IF($I252="","",IF($F252="",1,$F252))</f>
        <v/>
      </c>
    </row>
    <row r="253" ht="32" customHeight="1">
      <c r="A253" s="46" t="n"/>
      <c r="B253" s="47" t="n"/>
      <c r="C253" s="48">
        <f>IF($D253="","",IF(OR($A253="x",ROW()=9),Settings!$C$14&amp;TEXT(1000+COUNTIF($A$9:$A253,"x")+IF($A$9&lt;&gt;"x",1,0),"0000"),$C252))</f>
        <v/>
      </c>
      <c r="D253" s="46" t="n"/>
      <c r="E253" s="31">
        <f>IF($D253="","",IF($I253="","⚠️ Unknown code",_xlfn.XLOOKUP($I253,'Item Master'!$A$4:$A$53,'Item Master'!$C$4:$C$53,"")))</f>
        <v/>
      </c>
      <c r="F253" s="49" t="n"/>
      <c r="G253" s="36">
        <f>IF($I253="","",_xlfn.XLOOKUP($I253,'Item Master'!$A$4:$A$53,'Item Master'!$F$4:$F$53,0))</f>
        <v/>
      </c>
      <c r="H253" s="50">
        <f>IF($I253="","",$K253*$G253)</f>
        <v/>
      </c>
      <c r="I253" s="51">
        <f>IF($D253="","",IF(COUNTIF('Item Master'!$A$4:$A$53,$D253)&gt;0,$D253,_xlfn.XLOOKUP($D253,'Item Master'!$B$4:$B$53,'Item Master'!$A$4:$A$53,"")))</f>
        <v/>
      </c>
      <c r="J253" s="51">
        <f>IF($I253="","",$C253&amp;"|"&amp;COUNTIFS($C$9:$C253,$C253,$I$9:$I253,"?*"))</f>
        <v/>
      </c>
      <c r="K253" s="52">
        <f>IF($I253="","",IF($F253="",1,$F253))</f>
        <v/>
      </c>
    </row>
    <row r="254" ht="32" customHeight="1">
      <c r="A254" s="46" t="n"/>
      <c r="B254" s="47" t="n"/>
      <c r="C254" s="48">
        <f>IF($D254="","",IF(OR($A254="x",ROW()=9),Settings!$C$14&amp;TEXT(1000+COUNTIF($A$9:$A254,"x")+IF($A$9&lt;&gt;"x",1,0),"0000"),$C253))</f>
        <v/>
      </c>
      <c r="D254" s="46" t="n"/>
      <c r="E254" s="31">
        <f>IF($D254="","",IF($I254="","⚠️ Unknown code",_xlfn.XLOOKUP($I254,'Item Master'!$A$4:$A$53,'Item Master'!$C$4:$C$53,"")))</f>
        <v/>
      </c>
      <c r="F254" s="49" t="n"/>
      <c r="G254" s="36">
        <f>IF($I254="","",_xlfn.XLOOKUP($I254,'Item Master'!$A$4:$A$53,'Item Master'!$F$4:$F$53,0))</f>
        <v/>
      </c>
      <c r="H254" s="50">
        <f>IF($I254="","",$K254*$G254)</f>
        <v/>
      </c>
      <c r="I254" s="51">
        <f>IF($D254="","",IF(COUNTIF('Item Master'!$A$4:$A$53,$D254)&gt;0,$D254,_xlfn.XLOOKUP($D254,'Item Master'!$B$4:$B$53,'Item Master'!$A$4:$A$53,"")))</f>
        <v/>
      </c>
      <c r="J254" s="51">
        <f>IF($I254="","",$C254&amp;"|"&amp;COUNTIFS($C$9:$C254,$C254,$I$9:$I254,"?*"))</f>
        <v/>
      </c>
      <c r="K254" s="52">
        <f>IF($I254="","",IF($F254="",1,$F254))</f>
        <v/>
      </c>
    </row>
    <row r="255" ht="32" customHeight="1">
      <c r="A255" s="46" t="n"/>
      <c r="B255" s="47" t="n"/>
      <c r="C255" s="48">
        <f>IF($D255="","",IF(OR($A255="x",ROW()=9),Settings!$C$14&amp;TEXT(1000+COUNTIF($A$9:$A255,"x")+IF($A$9&lt;&gt;"x",1,0),"0000"),$C254))</f>
        <v/>
      </c>
      <c r="D255" s="46" t="n"/>
      <c r="E255" s="31">
        <f>IF($D255="","",IF($I255="","⚠️ Unknown code",_xlfn.XLOOKUP($I255,'Item Master'!$A$4:$A$53,'Item Master'!$C$4:$C$53,"")))</f>
        <v/>
      </c>
      <c r="F255" s="49" t="n"/>
      <c r="G255" s="36">
        <f>IF($I255="","",_xlfn.XLOOKUP($I255,'Item Master'!$A$4:$A$53,'Item Master'!$F$4:$F$53,0))</f>
        <v/>
      </c>
      <c r="H255" s="50">
        <f>IF($I255="","",$K255*$G255)</f>
        <v/>
      </c>
      <c r="I255" s="51">
        <f>IF($D255="","",IF(COUNTIF('Item Master'!$A$4:$A$53,$D255)&gt;0,$D255,_xlfn.XLOOKUP($D255,'Item Master'!$B$4:$B$53,'Item Master'!$A$4:$A$53,"")))</f>
        <v/>
      </c>
      <c r="J255" s="51">
        <f>IF($I255="","",$C255&amp;"|"&amp;COUNTIFS($C$9:$C255,$C255,$I$9:$I255,"?*"))</f>
        <v/>
      </c>
      <c r="K255" s="52">
        <f>IF($I255="","",IF($F255="",1,$F255))</f>
        <v/>
      </c>
    </row>
    <row r="256" ht="32" customHeight="1">
      <c r="A256" s="46" t="n"/>
      <c r="B256" s="47" t="n"/>
      <c r="C256" s="48">
        <f>IF($D256="","",IF(OR($A256="x",ROW()=9),Settings!$C$14&amp;TEXT(1000+COUNTIF($A$9:$A256,"x")+IF($A$9&lt;&gt;"x",1,0),"0000"),$C255))</f>
        <v/>
      </c>
      <c r="D256" s="46" t="n"/>
      <c r="E256" s="31">
        <f>IF($D256="","",IF($I256="","⚠️ Unknown code",_xlfn.XLOOKUP($I256,'Item Master'!$A$4:$A$53,'Item Master'!$C$4:$C$53,"")))</f>
        <v/>
      </c>
      <c r="F256" s="49" t="n"/>
      <c r="G256" s="36">
        <f>IF($I256="","",_xlfn.XLOOKUP($I256,'Item Master'!$A$4:$A$53,'Item Master'!$F$4:$F$53,0))</f>
        <v/>
      </c>
      <c r="H256" s="50">
        <f>IF($I256="","",$K256*$G256)</f>
        <v/>
      </c>
      <c r="I256" s="51">
        <f>IF($D256="","",IF(COUNTIF('Item Master'!$A$4:$A$53,$D256)&gt;0,$D256,_xlfn.XLOOKUP($D256,'Item Master'!$B$4:$B$53,'Item Master'!$A$4:$A$53,"")))</f>
        <v/>
      </c>
      <c r="J256" s="51">
        <f>IF($I256="","",$C256&amp;"|"&amp;COUNTIFS($C$9:$C256,$C256,$I$9:$I256,"?*"))</f>
        <v/>
      </c>
      <c r="K256" s="52">
        <f>IF($I256="","",IF($F256="",1,$F256))</f>
        <v/>
      </c>
    </row>
    <row r="257" ht="32" customHeight="1">
      <c r="A257" s="46" t="n"/>
      <c r="B257" s="47" t="n"/>
      <c r="C257" s="48">
        <f>IF($D257="","",IF(OR($A257="x",ROW()=9),Settings!$C$14&amp;TEXT(1000+COUNTIF($A$9:$A257,"x")+IF($A$9&lt;&gt;"x",1,0),"0000"),$C256))</f>
        <v/>
      </c>
      <c r="D257" s="46" t="n"/>
      <c r="E257" s="31">
        <f>IF($D257="","",IF($I257="","⚠️ Unknown code",_xlfn.XLOOKUP($I257,'Item Master'!$A$4:$A$53,'Item Master'!$C$4:$C$53,"")))</f>
        <v/>
      </c>
      <c r="F257" s="49" t="n"/>
      <c r="G257" s="36">
        <f>IF($I257="","",_xlfn.XLOOKUP($I257,'Item Master'!$A$4:$A$53,'Item Master'!$F$4:$F$53,0))</f>
        <v/>
      </c>
      <c r="H257" s="50">
        <f>IF($I257="","",$K257*$G257)</f>
        <v/>
      </c>
      <c r="I257" s="51">
        <f>IF($D257="","",IF(COUNTIF('Item Master'!$A$4:$A$53,$D257)&gt;0,$D257,_xlfn.XLOOKUP($D257,'Item Master'!$B$4:$B$53,'Item Master'!$A$4:$A$53,"")))</f>
        <v/>
      </c>
      <c r="J257" s="51">
        <f>IF($I257="","",$C257&amp;"|"&amp;COUNTIFS($C$9:$C257,$C257,$I$9:$I257,"?*"))</f>
        <v/>
      </c>
      <c r="K257" s="52">
        <f>IF($I257="","",IF($F257="",1,$F257))</f>
        <v/>
      </c>
    </row>
    <row r="258" ht="32" customHeight="1">
      <c r="A258" s="46" t="n"/>
      <c r="B258" s="47" t="n"/>
      <c r="C258" s="48">
        <f>IF($D258="","",IF(OR($A258="x",ROW()=9),Settings!$C$14&amp;TEXT(1000+COUNTIF($A$9:$A258,"x")+IF($A$9&lt;&gt;"x",1,0),"0000"),$C257))</f>
        <v/>
      </c>
      <c r="D258" s="46" t="n"/>
      <c r="E258" s="31">
        <f>IF($D258="","",IF($I258="","⚠️ Unknown code",_xlfn.XLOOKUP($I258,'Item Master'!$A$4:$A$53,'Item Master'!$C$4:$C$53,"")))</f>
        <v/>
      </c>
      <c r="F258" s="49" t="n"/>
      <c r="G258" s="36">
        <f>IF($I258="","",_xlfn.XLOOKUP($I258,'Item Master'!$A$4:$A$53,'Item Master'!$F$4:$F$53,0))</f>
        <v/>
      </c>
      <c r="H258" s="50">
        <f>IF($I258="","",$K258*$G258)</f>
        <v/>
      </c>
      <c r="I258" s="51">
        <f>IF($D258="","",IF(COUNTIF('Item Master'!$A$4:$A$53,$D258)&gt;0,$D258,_xlfn.XLOOKUP($D258,'Item Master'!$B$4:$B$53,'Item Master'!$A$4:$A$53,"")))</f>
        <v/>
      </c>
      <c r="J258" s="51">
        <f>IF($I258="","",$C258&amp;"|"&amp;COUNTIFS($C$9:$C258,$C258,$I$9:$I258,"?*"))</f>
        <v/>
      </c>
      <c r="K258" s="52">
        <f>IF($I258="","",IF($F258="",1,$F258))</f>
        <v/>
      </c>
    </row>
    <row r="259" ht="32" customHeight="1">
      <c r="A259" s="46" t="n"/>
      <c r="B259" s="47" t="n"/>
      <c r="C259" s="48">
        <f>IF($D259="","",IF(OR($A259="x",ROW()=9),Settings!$C$14&amp;TEXT(1000+COUNTIF($A$9:$A259,"x")+IF($A$9&lt;&gt;"x",1,0),"0000"),$C258))</f>
        <v/>
      </c>
      <c r="D259" s="46" t="n"/>
      <c r="E259" s="31">
        <f>IF($D259="","",IF($I259="","⚠️ Unknown code",_xlfn.XLOOKUP($I259,'Item Master'!$A$4:$A$53,'Item Master'!$C$4:$C$53,"")))</f>
        <v/>
      </c>
      <c r="F259" s="49" t="n"/>
      <c r="G259" s="36">
        <f>IF($I259="","",_xlfn.XLOOKUP($I259,'Item Master'!$A$4:$A$53,'Item Master'!$F$4:$F$53,0))</f>
        <v/>
      </c>
      <c r="H259" s="50">
        <f>IF($I259="","",$K259*$G259)</f>
        <v/>
      </c>
      <c r="I259" s="51">
        <f>IF($D259="","",IF(COUNTIF('Item Master'!$A$4:$A$53,$D259)&gt;0,$D259,_xlfn.XLOOKUP($D259,'Item Master'!$B$4:$B$53,'Item Master'!$A$4:$A$53,"")))</f>
        <v/>
      </c>
      <c r="J259" s="51">
        <f>IF($I259="","",$C259&amp;"|"&amp;COUNTIFS($C$9:$C259,$C259,$I$9:$I259,"?*"))</f>
        <v/>
      </c>
      <c r="K259" s="52">
        <f>IF($I259="","",IF($F259="",1,$F259))</f>
        <v/>
      </c>
    </row>
    <row r="260" ht="32" customHeight="1">
      <c r="A260" s="46" t="n"/>
      <c r="B260" s="47" t="n"/>
      <c r="C260" s="48">
        <f>IF($D260="","",IF(OR($A260="x",ROW()=9),Settings!$C$14&amp;TEXT(1000+COUNTIF($A$9:$A260,"x")+IF($A$9&lt;&gt;"x",1,0),"0000"),$C259))</f>
        <v/>
      </c>
      <c r="D260" s="46" t="n"/>
      <c r="E260" s="31">
        <f>IF($D260="","",IF($I260="","⚠️ Unknown code",_xlfn.XLOOKUP($I260,'Item Master'!$A$4:$A$53,'Item Master'!$C$4:$C$53,"")))</f>
        <v/>
      </c>
      <c r="F260" s="49" t="n"/>
      <c r="G260" s="36">
        <f>IF($I260="","",_xlfn.XLOOKUP($I260,'Item Master'!$A$4:$A$53,'Item Master'!$F$4:$F$53,0))</f>
        <v/>
      </c>
      <c r="H260" s="50">
        <f>IF($I260="","",$K260*$G260)</f>
        <v/>
      </c>
      <c r="I260" s="51">
        <f>IF($D260="","",IF(COUNTIF('Item Master'!$A$4:$A$53,$D260)&gt;0,$D260,_xlfn.XLOOKUP($D260,'Item Master'!$B$4:$B$53,'Item Master'!$A$4:$A$53,"")))</f>
        <v/>
      </c>
      <c r="J260" s="51">
        <f>IF($I260="","",$C260&amp;"|"&amp;COUNTIFS($C$9:$C260,$C260,$I$9:$I260,"?*"))</f>
        <v/>
      </c>
      <c r="K260" s="52">
        <f>IF($I260="","",IF($F260="",1,$F260))</f>
        <v/>
      </c>
    </row>
    <row r="261" ht="32" customHeight="1">
      <c r="A261" s="46" t="n"/>
      <c r="B261" s="47" t="n"/>
      <c r="C261" s="48">
        <f>IF($D261="","",IF(OR($A261="x",ROW()=9),Settings!$C$14&amp;TEXT(1000+COUNTIF($A$9:$A261,"x")+IF($A$9&lt;&gt;"x",1,0),"0000"),$C260))</f>
        <v/>
      </c>
      <c r="D261" s="46" t="n"/>
      <c r="E261" s="31">
        <f>IF($D261="","",IF($I261="","⚠️ Unknown code",_xlfn.XLOOKUP($I261,'Item Master'!$A$4:$A$53,'Item Master'!$C$4:$C$53,"")))</f>
        <v/>
      </c>
      <c r="F261" s="49" t="n"/>
      <c r="G261" s="36">
        <f>IF($I261="","",_xlfn.XLOOKUP($I261,'Item Master'!$A$4:$A$53,'Item Master'!$F$4:$F$53,0))</f>
        <v/>
      </c>
      <c r="H261" s="50">
        <f>IF($I261="","",$K261*$G261)</f>
        <v/>
      </c>
      <c r="I261" s="51">
        <f>IF($D261="","",IF(COUNTIF('Item Master'!$A$4:$A$53,$D261)&gt;0,$D261,_xlfn.XLOOKUP($D261,'Item Master'!$B$4:$B$53,'Item Master'!$A$4:$A$53,"")))</f>
        <v/>
      </c>
      <c r="J261" s="51">
        <f>IF($I261="","",$C261&amp;"|"&amp;COUNTIFS($C$9:$C261,$C261,$I$9:$I261,"?*"))</f>
        <v/>
      </c>
      <c r="K261" s="52">
        <f>IF($I261="","",IF($F261="",1,$F261))</f>
        <v/>
      </c>
    </row>
    <row r="262" ht="32" customHeight="1">
      <c r="A262" s="46" t="n"/>
      <c r="B262" s="47" t="n"/>
      <c r="C262" s="48">
        <f>IF($D262="","",IF(OR($A262="x",ROW()=9),Settings!$C$14&amp;TEXT(1000+COUNTIF($A$9:$A262,"x")+IF($A$9&lt;&gt;"x",1,0),"0000"),$C261))</f>
        <v/>
      </c>
      <c r="D262" s="46" t="n"/>
      <c r="E262" s="31">
        <f>IF($D262="","",IF($I262="","⚠️ Unknown code",_xlfn.XLOOKUP($I262,'Item Master'!$A$4:$A$53,'Item Master'!$C$4:$C$53,"")))</f>
        <v/>
      </c>
      <c r="F262" s="49" t="n"/>
      <c r="G262" s="36">
        <f>IF($I262="","",_xlfn.XLOOKUP($I262,'Item Master'!$A$4:$A$53,'Item Master'!$F$4:$F$53,0))</f>
        <v/>
      </c>
      <c r="H262" s="50">
        <f>IF($I262="","",$K262*$G262)</f>
        <v/>
      </c>
      <c r="I262" s="51">
        <f>IF($D262="","",IF(COUNTIF('Item Master'!$A$4:$A$53,$D262)&gt;0,$D262,_xlfn.XLOOKUP($D262,'Item Master'!$B$4:$B$53,'Item Master'!$A$4:$A$53,"")))</f>
        <v/>
      </c>
      <c r="J262" s="51">
        <f>IF($I262="","",$C262&amp;"|"&amp;COUNTIFS($C$9:$C262,$C262,$I$9:$I262,"?*"))</f>
        <v/>
      </c>
      <c r="K262" s="52">
        <f>IF($I262="","",IF($F262="",1,$F262))</f>
        <v/>
      </c>
    </row>
    <row r="263" ht="32" customHeight="1">
      <c r="A263" s="46" t="n"/>
      <c r="B263" s="47" t="n"/>
      <c r="C263" s="48">
        <f>IF($D263="","",IF(OR($A263="x",ROW()=9),Settings!$C$14&amp;TEXT(1000+COUNTIF($A$9:$A263,"x")+IF($A$9&lt;&gt;"x",1,0),"0000"),$C262))</f>
        <v/>
      </c>
      <c r="D263" s="46" t="n"/>
      <c r="E263" s="31">
        <f>IF($D263="","",IF($I263="","⚠️ Unknown code",_xlfn.XLOOKUP($I263,'Item Master'!$A$4:$A$53,'Item Master'!$C$4:$C$53,"")))</f>
        <v/>
      </c>
      <c r="F263" s="49" t="n"/>
      <c r="G263" s="36">
        <f>IF($I263="","",_xlfn.XLOOKUP($I263,'Item Master'!$A$4:$A$53,'Item Master'!$F$4:$F$53,0))</f>
        <v/>
      </c>
      <c r="H263" s="50">
        <f>IF($I263="","",$K263*$G263)</f>
        <v/>
      </c>
      <c r="I263" s="51">
        <f>IF($D263="","",IF(COUNTIF('Item Master'!$A$4:$A$53,$D263)&gt;0,$D263,_xlfn.XLOOKUP($D263,'Item Master'!$B$4:$B$53,'Item Master'!$A$4:$A$53,"")))</f>
        <v/>
      </c>
      <c r="J263" s="51">
        <f>IF($I263="","",$C263&amp;"|"&amp;COUNTIFS($C$9:$C263,$C263,$I$9:$I263,"?*"))</f>
        <v/>
      </c>
      <c r="K263" s="52">
        <f>IF($I263="","",IF($F263="",1,$F263))</f>
        <v/>
      </c>
    </row>
    <row r="264" ht="32" customHeight="1">
      <c r="A264" s="46" t="n"/>
      <c r="B264" s="47" t="n"/>
      <c r="C264" s="48">
        <f>IF($D264="","",IF(OR($A264="x",ROW()=9),Settings!$C$14&amp;TEXT(1000+COUNTIF($A$9:$A264,"x")+IF($A$9&lt;&gt;"x",1,0),"0000"),$C263))</f>
        <v/>
      </c>
      <c r="D264" s="46" t="n"/>
      <c r="E264" s="31">
        <f>IF($D264="","",IF($I264="","⚠️ Unknown code",_xlfn.XLOOKUP($I264,'Item Master'!$A$4:$A$53,'Item Master'!$C$4:$C$53,"")))</f>
        <v/>
      </c>
      <c r="F264" s="49" t="n"/>
      <c r="G264" s="36">
        <f>IF($I264="","",_xlfn.XLOOKUP($I264,'Item Master'!$A$4:$A$53,'Item Master'!$F$4:$F$53,0))</f>
        <v/>
      </c>
      <c r="H264" s="50">
        <f>IF($I264="","",$K264*$G264)</f>
        <v/>
      </c>
      <c r="I264" s="51">
        <f>IF($D264="","",IF(COUNTIF('Item Master'!$A$4:$A$53,$D264)&gt;0,$D264,_xlfn.XLOOKUP($D264,'Item Master'!$B$4:$B$53,'Item Master'!$A$4:$A$53,"")))</f>
        <v/>
      </c>
      <c r="J264" s="51">
        <f>IF($I264="","",$C264&amp;"|"&amp;COUNTIFS($C$9:$C264,$C264,$I$9:$I264,"?*"))</f>
        <v/>
      </c>
      <c r="K264" s="52">
        <f>IF($I264="","",IF($F264="",1,$F264))</f>
        <v/>
      </c>
    </row>
    <row r="265" ht="32" customHeight="1">
      <c r="A265" s="46" t="n"/>
      <c r="B265" s="47" t="n"/>
      <c r="C265" s="48">
        <f>IF($D265="","",IF(OR($A265="x",ROW()=9),Settings!$C$14&amp;TEXT(1000+COUNTIF($A$9:$A265,"x")+IF($A$9&lt;&gt;"x",1,0),"0000"),$C264))</f>
        <v/>
      </c>
      <c r="D265" s="46" t="n"/>
      <c r="E265" s="31">
        <f>IF($D265="","",IF($I265="","⚠️ Unknown code",_xlfn.XLOOKUP($I265,'Item Master'!$A$4:$A$53,'Item Master'!$C$4:$C$53,"")))</f>
        <v/>
      </c>
      <c r="F265" s="49" t="n"/>
      <c r="G265" s="36">
        <f>IF($I265="","",_xlfn.XLOOKUP($I265,'Item Master'!$A$4:$A$53,'Item Master'!$F$4:$F$53,0))</f>
        <v/>
      </c>
      <c r="H265" s="50">
        <f>IF($I265="","",$K265*$G265)</f>
        <v/>
      </c>
      <c r="I265" s="51">
        <f>IF($D265="","",IF(COUNTIF('Item Master'!$A$4:$A$53,$D265)&gt;0,$D265,_xlfn.XLOOKUP($D265,'Item Master'!$B$4:$B$53,'Item Master'!$A$4:$A$53,"")))</f>
        <v/>
      </c>
      <c r="J265" s="51">
        <f>IF($I265="","",$C265&amp;"|"&amp;COUNTIFS($C$9:$C265,$C265,$I$9:$I265,"?*"))</f>
        <v/>
      </c>
      <c r="K265" s="52">
        <f>IF($I265="","",IF($F265="",1,$F265))</f>
        <v/>
      </c>
    </row>
    <row r="266" ht="32" customHeight="1">
      <c r="A266" s="46" t="n"/>
      <c r="B266" s="47" t="n"/>
      <c r="C266" s="48">
        <f>IF($D266="","",IF(OR($A266="x",ROW()=9),Settings!$C$14&amp;TEXT(1000+COUNTIF($A$9:$A266,"x")+IF($A$9&lt;&gt;"x",1,0),"0000"),$C265))</f>
        <v/>
      </c>
      <c r="D266" s="46" t="n"/>
      <c r="E266" s="31">
        <f>IF($D266="","",IF($I266="","⚠️ Unknown code",_xlfn.XLOOKUP($I266,'Item Master'!$A$4:$A$53,'Item Master'!$C$4:$C$53,"")))</f>
        <v/>
      </c>
      <c r="F266" s="49" t="n"/>
      <c r="G266" s="36">
        <f>IF($I266="","",_xlfn.XLOOKUP($I266,'Item Master'!$A$4:$A$53,'Item Master'!$F$4:$F$53,0))</f>
        <v/>
      </c>
      <c r="H266" s="50">
        <f>IF($I266="","",$K266*$G266)</f>
        <v/>
      </c>
      <c r="I266" s="51">
        <f>IF($D266="","",IF(COUNTIF('Item Master'!$A$4:$A$53,$D266)&gt;0,$D266,_xlfn.XLOOKUP($D266,'Item Master'!$B$4:$B$53,'Item Master'!$A$4:$A$53,"")))</f>
        <v/>
      </c>
      <c r="J266" s="51">
        <f>IF($I266="","",$C266&amp;"|"&amp;COUNTIFS($C$9:$C266,$C266,$I$9:$I266,"?*"))</f>
        <v/>
      </c>
      <c r="K266" s="52">
        <f>IF($I266="","",IF($F266="",1,$F266))</f>
        <v/>
      </c>
    </row>
    <row r="267" ht="32" customHeight="1">
      <c r="A267" s="46" t="n"/>
      <c r="B267" s="47" t="n"/>
      <c r="C267" s="48">
        <f>IF($D267="","",IF(OR($A267="x",ROW()=9),Settings!$C$14&amp;TEXT(1000+COUNTIF($A$9:$A267,"x")+IF($A$9&lt;&gt;"x",1,0),"0000"),$C266))</f>
        <v/>
      </c>
      <c r="D267" s="46" t="n"/>
      <c r="E267" s="31">
        <f>IF($D267="","",IF($I267="","⚠️ Unknown code",_xlfn.XLOOKUP($I267,'Item Master'!$A$4:$A$53,'Item Master'!$C$4:$C$53,"")))</f>
        <v/>
      </c>
      <c r="F267" s="49" t="n"/>
      <c r="G267" s="36">
        <f>IF($I267="","",_xlfn.XLOOKUP($I267,'Item Master'!$A$4:$A$53,'Item Master'!$F$4:$F$53,0))</f>
        <v/>
      </c>
      <c r="H267" s="50">
        <f>IF($I267="","",$K267*$G267)</f>
        <v/>
      </c>
      <c r="I267" s="51">
        <f>IF($D267="","",IF(COUNTIF('Item Master'!$A$4:$A$53,$D267)&gt;0,$D267,_xlfn.XLOOKUP($D267,'Item Master'!$B$4:$B$53,'Item Master'!$A$4:$A$53,"")))</f>
        <v/>
      </c>
      <c r="J267" s="51">
        <f>IF($I267="","",$C267&amp;"|"&amp;COUNTIFS($C$9:$C267,$C267,$I$9:$I267,"?*"))</f>
        <v/>
      </c>
      <c r="K267" s="52">
        <f>IF($I267="","",IF($F267="",1,$F267))</f>
        <v/>
      </c>
    </row>
    <row r="268" ht="32" customHeight="1">
      <c r="A268" s="46" t="n"/>
      <c r="B268" s="47" t="n"/>
      <c r="C268" s="48">
        <f>IF($D268="","",IF(OR($A268="x",ROW()=9),Settings!$C$14&amp;TEXT(1000+COUNTIF($A$9:$A268,"x")+IF($A$9&lt;&gt;"x",1,0),"0000"),$C267))</f>
        <v/>
      </c>
      <c r="D268" s="46" t="n"/>
      <c r="E268" s="31">
        <f>IF($D268="","",IF($I268="","⚠️ Unknown code",_xlfn.XLOOKUP($I268,'Item Master'!$A$4:$A$53,'Item Master'!$C$4:$C$53,"")))</f>
        <v/>
      </c>
      <c r="F268" s="49" t="n"/>
      <c r="G268" s="36">
        <f>IF($I268="","",_xlfn.XLOOKUP($I268,'Item Master'!$A$4:$A$53,'Item Master'!$F$4:$F$53,0))</f>
        <v/>
      </c>
      <c r="H268" s="50">
        <f>IF($I268="","",$K268*$G268)</f>
        <v/>
      </c>
      <c r="I268" s="51">
        <f>IF($D268="","",IF(COUNTIF('Item Master'!$A$4:$A$53,$D268)&gt;0,$D268,_xlfn.XLOOKUP($D268,'Item Master'!$B$4:$B$53,'Item Master'!$A$4:$A$53,"")))</f>
        <v/>
      </c>
      <c r="J268" s="51">
        <f>IF($I268="","",$C268&amp;"|"&amp;COUNTIFS($C$9:$C268,$C268,$I$9:$I268,"?*"))</f>
        <v/>
      </c>
      <c r="K268" s="52">
        <f>IF($I268="","",IF($F268="",1,$F268))</f>
        <v/>
      </c>
    </row>
    <row r="269" ht="32" customHeight="1">
      <c r="A269" s="46" t="n"/>
      <c r="B269" s="47" t="n"/>
      <c r="C269" s="48">
        <f>IF($D269="","",IF(OR($A269="x",ROW()=9),Settings!$C$14&amp;TEXT(1000+COUNTIF($A$9:$A269,"x")+IF($A$9&lt;&gt;"x",1,0),"0000"),$C268))</f>
        <v/>
      </c>
      <c r="D269" s="46" t="n"/>
      <c r="E269" s="31">
        <f>IF($D269="","",IF($I269="","⚠️ Unknown code",_xlfn.XLOOKUP($I269,'Item Master'!$A$4:$A$53,'Item Master'!$C$4:$C$53,"")))</f>
        <v/>
      </c>
      <c r="F269" s="49" t="n"/>
      <c r="G269" s="36">
        <f>IF($I269="","",_xlfn.XLOOKUP($I269,'Item Master'!$A$4:$A$53,'Item Master'!$F$4:$F$53,0))</f>
        <v/>
      </c>
      <c r="H269" s="50">
        <f>IF($I269="","",$K269*$G269)</f>
        <v/>
      </c>
      <c r="I269" s="51">
        <f>IF($D269="","",IF(COUNTIF('Item Master'!$A$4:$A$53,$D269)&gt;0,$D269,_xlfn.XLOOKUP($D269,'Item Master'!$B$4:$B$53,'Item Master'!$A$4:$A$53,"")))</f>
        <v/>
      </c>
      <c r="J269" s="51">
        <f>IF($I269="","",$C269&amp;"|"&amp;COUNTIFS($C$9:$C269,$C269,$I$9:$I269,"?*"))</f>
        <v/>
      </c>
      <c r="K269" s="52">
        <f>IF($I269="","",IF($F269="",1,$F269))</f>
        <v/>
      </c>
    </row>
    <row r="270" ht="32" customHeight="1">
      <c r="A270" s="46" t="n"/>
      <c r="B270" s="47" t="n"/>
      <c r="C270" s="48">
        <f>IF($D270="","",IF(OR($A270="x",ROW()=9),Settings!$C$14&amp;TEXT(1000+COUNTIF($A$9:$A270,"x")+IF($A$9&lt;&gt;"x",1,0),"0000"),$C269))</f>
        <v/>
      </c>
      <c r="D270" s="46" t="n"/>
      <c r="E270" s="31">
        <f>IF($D270="","",IF($I270="","⚠️ Unknown code",_xlfn.XLOOKUP($I270,'Item Master'!$A$4:$A$53,'Item Master'!$C$4:$C$53,"")))</f>
        <v/>
      </c>
      <c r="F270" s="49" t="n"/>
      <c r="G270" s="36">
        <f>IF($I270="","",_xlfn.XLOOKUP($I270,'Item Master'!$A$4:$A$53,'Item Master'!$F$4:$F$53,0))</f>
        <v/>
      </c>
      <c r="H270" s="50">
        <f>IF($I270="","",$K270*$G270)</f>
        <v/>
      </c>
      <c r="I270" s="51">
        <f>IF($D270="","",IF(COUNTIF('Item Master'!$A$4:$A$53,$D270)&gt;0,$D270,_xlfn.XLOOKUP($D270,'Item Master'!$B$4:$B$53,'Item Master'!$A$4:$A$53,"")))</f>
        <v/>
      </c>
      <c r="J270" s="51">
        <f>IF($I270="","",$C270&amp;"|"&amp;COUNTIFS($C$9:$C270,$C270,$I$9:$I270,"?*"))</f>
        <v/>
      </c>
      <c r="K270" s="52">
        <f>IF($I270="","",IF($F270="",1,$F270))</f>
        <v/>
      </c>
    </row>
    <row r="271" ht="32" customHeight="1">
      <c r="A271" s="46" t="n"/>
      <c r="B271" s="47" t="n"/>
      <c r="C271" s="48">
        <f>IF($D271="","",IF(OR($A271="x",ROW()=9),Settings!$C$14&amp;TEXT(1000+COUNTIF($A$9:$A271,"x")+IF($A$9&lt;&gt;"x",1,0),"0000"),$C270))</f>
        <v/>
      </c>
      <c r="D271" s="46" t="n"/>
      <c r="E271" s="31">
        <f>IF($D271="","",IF($I271="","⚠️ Unknown code",_xlfn.XLOOKUP($I271,'Item Master'!$A$4:$A$53,'Item Master'!$C$4:$C$53,"")))</f>
        <v/>
      </c>
      <c r="F271" s="49" t="n"/>
      <c r="G271" s="36">
        <f>IF($I271="","",_xlfn.XLOOKUP($I271,'Item Master'!$A$4:$A$53,'Item Master'!$F$4:$F$53,0))</f>
        <v/>
      </c>
      <c r="H271" s="50">
        <f>IF($I271="","",$K271*$G271)</f>
        <v/>
      </c>
      <c r="I271" s="51">
        <f>IF($D271="","",IF(COUNTIF('Item Master'!$A$4:$A$53,$D271)&gt;0,$D271,_xlfn.XLOOKUP($D271,'Item Master'!$B$4:$B$53,'Item Master'!$A$4:$A$53,"")))</f>
        <v/>
      </c>
      <c r="J271" s="51">
        <f>IF($I271="","",$C271&amp;"|"&amp;COUNTIFS($C$9:$C271,$C271,$I$9:$I271,"?*"))</f>
        <v/>
      </c>
      <c r="K271" s="52">
        <f>IF($I271="","",IF($F271="",1,$F271))</f>
        <v/>
      </c>
    </row>
    <row r="272" ht="32" customHeight="1">
      <c r="A272" s="46" t="n"/>
      <c r="B272" s="47" t="n"/>
      <c r="C272" s="48">
        <f>IF($D272="","",IF(OR($A272="x",ROW()=9),Settings!$C$14&amp;TEXT(1000+COUNTIF($A$9:$A272,"x")+IF($A$9&lt;&gt;"x",1,0),"0000"),$C271))</f>
        <v/>
      </c>
      <c r="D272" s="46" t="n"/>
      <c r="E272" s="31">
        <f>IF($D272="","",IF($I272="","⚠️ Unknown code",_xlfn.XLOOKUP($I272,'Item Master'!$A$4:$A$53,'Item Master'!$C$4:$C$53,"")))</f>
        <v/>
      </c>
      <c r="F272" s="49" t="n"/>
      <c r="G272" s="36">
        <f>IF($I272="","",_xlfn.XLOOKUP($I272,'Item Master'!$A$4:$A$53,'Item Master'!$F$4:$F$53,0))</f>
        <v/>
      </c>
      <c r="H272" s="50">
        <f>IF($I272="","",$K272*$G272)</f>
        <v/>
      </c>
      <c r="I272" s="51">
        <f>IF($D272="","",IF(COUNTIF('Item Master'!$A$4:$A$53,$D272)&gt;0,$D272,_xlfn.XLOOKUP($D272,'Item Master'!$B$4:$B$53,'Item Master'!$A$4:$A$53,"")))</f>
        <v/>
      </c>
      <c r="J272" s="51">
        <f>IF($I272="","",$C272&amp;"|"&amp;COUNTIFS($C$9:$C272,$C272,$I$9:$I272,"?*"))</f>
        <v/>
      </c>
      <c r="K272" s="52">
        <f>IF($I272="","",IF($F272="",1,$F272))</f>
        <v/>
      </c>
    </row>
    <row r="273" ht="32" customHeight="1">
      <c r="A273" s="46" t="n"/>
      <c r="B273" s="47" t="n"/>
      <c r="C273" s="48">
        <f>IF($D273="","",IF(OR($A273="x",ROW()=9),Settings!$C$14&amp;TEXT(1000+COUNTIF($A$9:$A273,"x")+IF($A$9&lt;&gt;"x",1,0),"0000"),$C272))</f>
        <v/>
      </c>
      <c r="D273" s="46" t="n"/>
      <c r="E273" s="31">
        <f>IF($D273="","",IF($I273="","⚠️ Unknown code",_xlfn.XLOOKUP($I273,'Item Master'!$A$4:$A$53,'Item Master'!$C$4:$C$53,"")))</f>
        <v/>
      </c>
      <c r="F273" s="49" t="n"/>
      <c r="G273" s="36">
        <f>IF($I273="","",_xlfn.XLOOKUP($I273,'Item Master'!$A$4:$A$53,'Item Master'!$F$4:$F$53,0))</f>
        <v/>
      </c>
      <c r="H273" s="50">
        <f>IF($I273="","",$K273*$G273)</f>
        <v/>
      </c>
      <c r="I273" s="51">
        <f>IF($D273="","",IF(COUNTIF('Item Master'!$A$4:$A$53,$D273)&gt;0,$D273,_xlfn.XLOOKUP($D273,'Item Master'!$B$4:$B$53,'Item Master'!$A$4:$A$53,"")))</f>
        <v/>
      </c>
      <c r="J273" s="51">
        <f>IF($I273="","",$C273&amp;"|"&amp;COUNTIFS($C$9:$C273,$C273,$I$9:$I273,"?*"))</f>
        <v/>
      </c>
      <c r="K273" s="52">
        <f>IF($I273="","",IF($F273="",1,$F273))</f>
        <v/>
      </c>
    </row>
    <row r="274" ht="32" customHeight="1">
      <c r="A274" s="46" t="n"/>
      <c r="B274" s="47" t="n"/>
      <c r="C274" s="48">
        <f>IF($D274="","",IF(OR($A274="x",ROW()=9),Settings!$C$14&amp;TEXT(1000+COUNTIF($A$9:$A274,"x")+IF($A$9&lt;&gt;"x",1,0),"0000"),$C273))</f>
        <v/>
      </c>
      <c r="D274" s="46" t="n"/>
      <c r="E274" s="31">
        <f>IF($D274="","",IF($I274="","⚠️ Unknown code",_xlfn.XLOOKUP($I274,'Item Master'!$A$4:$A$53,'Item Master'!$C$4:$C$53,"")))</f>
        <v/>
      </c>
      <c r="F274" s="49" t="n"/>
      <c r="G274" s="36">
        <f>IF($I274="","",_xlfn.XLOOKUP($I274,'Item Master'!$A$4:$A$53,'Item Master'!$F$4:$F$53,0))</f>
        <v/>
      </c>
      <c r="H274" s="50">
        <f>IF($I274="","",$K274*$G274)</f>
        <v/>
      </c>
      <c r="I274" s="51">
        <f>IF($D274="","",IF(COUNTIF('Item Master'!$A$4:$A$53,$D274)&gt;0,$D274,_xlfn.XLOOKUP($D274,'Item Master'!$B$4:$B$53,'Item Master'!$A$4:$A$53,"")))</f>
        <v/>
      </c>
      <c r="J274" s="51">
        <f>IF($I274="","",$C274&amp;"|"&amp;COUNTIFS($C$9:$C274,$C274,$I$9:$I274,"?*"))</f>
        <v/>
      </c>
      <c r="K274" s="52">
        <f>IF($I274="","",IF($F274="",1,$F274))</f>
        <v/>
      </c>
    </row>
    <row r="275" ht="32" customHeight="1">
      <c r="A275" s="46" t="n"/>
      <c r="B275" s="47" t="n"/>
      <c r="C275" s="48">
        <f>IF($D275="","",IF(OR($A275="x",ROW()=9),Settings!$C$14&amp;TEXT(1000+COUNTIF($A$9:$A275,"x")+IF($A$9&lt;&gt;"x",1,0),"0000"),$C274))</f>
        <v/>
      </c>
      <c r="D275" s="46" t="n"/>
      <c r="E275" s="31">
        <f>IF($D275="","",IF($I275="","⚠️ Unknown code",_xlfn.XLOOKUP($I275,'Item Master'!$A$4:$A$53,'Item Master'!$C$4:$C$53,"")))</f>
        <v/>
      </c>
      <c r="F275" s="49" t="n"/>
      <c r="G275" s="36">
        <f>IF($I275="","",_xlfn.XLOOKUP($I275,'Item Master'!$A$4:$A$53,'Item Master'!$F$4:$F$53,0))</f>
        <v/>
      </c>
      <c r="H275" s="50">
        <f>IF($I275="","",$K275*$G275)</f>
        <v/>
      </c>
      <c r="I275" s="51">
        <f>IF($D275="","",IF(COUNTIF('Item Master'!$A$4:$A$53,$D275)&gt;0,$D275,_xlfn.XLOOKUP($D275,'Item Master'!$B$4:$B$53,'Item Master'!$A$4:$A$53,"")))</f>
        <v/>
      </c>
      <c r="J275" s="51">
        <f>IF($I275="","",$C275&amp;"|"&amp;COUNTIFS($C$9:$C275,$C275,$I$9:$I275,"?*"))</f>
        <v/>
      </c>
      <c r="K275" s="52">
        <f>IF($I275="","",IF($F275="",1,$F275))</f>
        <v/>
      </c>
    </row>
    <row r="276" ht="32" customHeight="1">
      <c r="A276" s="46" t="n"/>
      <c r="B276" s="47" t="n"/>
      <c r="C276" s="48">
        <f>IF($D276="","",IF(OR($A276="x",ROW()=9),Settings!$C$14&amp;TEXT(1000+COUNTIF($A$9:$A276,"x")+IF($A$9&lt;&gt;"x",1,0),"0000"),$C275))</f>
        <v/>
      </c>
      <c r="D276" s="46" t="n"/>
      <c r="E276" s="31">
        <f>IF($D276="","",IF($I276="","⚠️ Unknown code",_xlfn.XLOOKUP($I276,'Item Master'!$A$4:$A$53,'Item Master'!$C$4:$C$53,"")))</f>
        <v/>
      </c>
      <c r="F276" s="49" t="n"/>
      <c r="G276" s="36">
        <f>IF($I276="","",_xlfn.XLOOKUP($I276,'Item Master'!$A$4:$A$53,'Item Master'!$F$4:$F$53,0))</f>
        <v/>
      </c>
      <c r="H276" s="50">
        <f>IF($I276="","",$K276*$G276)</f>
        <v/>
      </c>
      <c r="I276" s="51">
        <f>IF($D276="","",IF(COUNTIF('Item Master'!$A$4:$A$53,$D276)&gt;0,$D276,_xlfn.XLOOKUP($D276,'Item Master'!$B$4:$B$53,'Item Master'!$A$4:$A$53,"")))</f>
        <v/>
      </c>
      <c r="J276" s="51">
        <f>IF($I276="","",$C276&amp;"|"&amp;COUNTIFS($C$9:$C276,$C276,$I$9:$I276,"?*"))</f>
        <v/>
      </c>
      <c r="K276" s="52">
        <f>IF($I276="","",IF($F276="",1,$F276))</f>
        <v/>
      </c>
    </row>
    <row r="277" ht="32" customHeight="1">
      <c r="A277" s="46" t="n"/>
      <c r="B277" s="47" t="n"/>
      <c r="C277" s="48">
        <f>IF($D277="","",IF(OR($A277="x",ROW()=9),Settings!$C$14&amp;TEXT(1000+COUNTIF($A$9:$A277,"x")+IF($A$9&lt;&gt;"x",1,0),"0000"),$C276))</f>
        <v/>
      </c>
      <c r="D277" s="46" t="n"/>
      <c r="E277" s="31">
        <f>IF($D277="","",IF($I277="","⚠️ Unknown code",_xlfn.XLOOKUP($I277,'Item Master'!$A$4:$A$53,'Item Master'!$C$4:$C$53,"")))</f>
        <v/>
      </c>
      <c r="F277" s="49" t="n"/>
      <c r="G277" s="36">
        <f>IF($I277="","",_xlfn.XLOOKUP($I277,'Item Master'!$A$4:$A$53,'Item Master'!$F$4:$F$53,0))</f>
        <v/>
      </c>
      <c r="H277" s="50">
        <f>IF($I277="","",$K277*$G277)</f>
        <v/>
      </c>
      <c r="I277" s="51">
        <f>IF($D277="","",IF(COUNTIF('Item Master'!$A$4:$A$53,$D277)&gt;0,$D277,_xlfn.XLOOKUP($D277,'Item Master'!$B$4:$B$53,'Item Master'!$A$4:$A$53,"")))</f>
        <v/>
      </c>
      <c r="J277" s="51">
        <f>IF($I277="","",$C277&amp;"|"&amp;COUNTIFS($C$9:$C277,$C277,$I$9:$I277,"?*"))</f>
        <v/>
      </c>
      <c r="K277" s="52">
        <f>IF($I277="","",IF($F277="",1,$F277))</f>
        <v/>
      </c>
    </row>
    <row r="278" ht="32" customHeight="1">
      <c r="A278" s="46" t="n"/>
      <c r="B278" s="47" t="n"/>
      <c r="C278" s="48">
        <f>IF($D278="","",IF(OR($A278="x",ROW()=9),Settings!$C$14&amp;TEXT(1000+COUNTIF($A$9:$A278,"x")+IF($A$9&lt;&gt;"x",1,0),"0000"),$C277))</f>
        <v/>
      </c>
      <c r="D278" s="46" t="n"/>
      <c r="E278" s="31">
        <f>IF($D278="","",IF($I278="","⚠️ Unknown code",_xlfn.XLOOKUP($I278,'Item Master'!$A$4:$A$53,'Item Master'!$C$4:$C$53,"")))</f>
        <v/>
      </c>
      <c r="F278" s="49" t="n"/>
      <c r="G278" s="36">
        <f>IF($I278="","",_xlfn.XLOOKUP($I278,'Item Master'!$A$4:$A$53,'Item Master'!$F$4:$F$53,0))</f>
        <v/>
      </c>
      <c r="H278" s="50">
        <f>IF($I278="","",$K278*$G278)</f>
        <v/>
      </c>
      <c r="I278" s="51">
        <f>IF($D278="","",IF(COUNTIF('Item Master'!$A$4:$A$53,$D278)&gt;0,$D278,_xlfn.XLOOKUP($D278,'Item Master'!$B$4:$B$53,'Item Master'!$A$4:$A$53,"")))</f>
        <v/>
      </c>
      <c r="J278" s="51">
        <f>IF($I278="","",$C278&amp;"|"&amp;COUNTIFS($C$9:$C278,$C278,$I$9:$I278,"?*"))</f>
        <v/>
      </c>
      <c r="K278" s="52">
        <f>IF($I278="","",IF($F278="",1,$F278))</f>
        <v/>
      </c>
    </row>
    <row r="279" ht="32" customHeight="1">
      <c r="A279" s="46" t="n"/>
      <c r="B279" s="47" t="n"/>
      <c r="C279" s="48">
        <f>IF($D279="","",IF(OR($A279="x",ROW()=9),Settings!$C$14&amp;TEXT(1000+COUNTIF($A$9:$A279,"x")+IF($A$9&lt;&gt;"x",1,0),"0000"),$C278))</f>
        <v/>
      </c>
      <c r="D279" s="46" t="n"/>
      <c r="E279" s="31">
        <f>IF($D279="","",IF($I279="","⚠️ Unknown code",_xlfn.XLOOKUP($I279,'Item Master'!$A$4:$A$53,'Item Master'!$C$4:$C$53,"")))</f>
        <v/>
      </c>
      <c r="F279" s="49" t="n"/>
      <c r="G279" s="36">
        <f>IF($I279="","",_xlfn.XLOOKUP($I279,'Item Master'!$A$4:$A$53,'Item Master'!$F$4:$F$53,0))</f>
        <v/>
      </c>
      <c r="H279" s="50">
        <f>IF($I279="","",$K279*$G279)</f>
        <v/>
      </c>
      <c r="I279" s="51">
        <f>IF($D279="","",IF(COUNTIF('Item Master'!$A$4:$A$53,$D279)&gt;0,$D279,_xlfn.XLOOKUP($D279,'Item Master'!$B$4:$B$53,'Item Master'!$A$4:$A$53,"")))</f>
        <v/>
      </c>
      <c r="J279" s="51">
        <f>IF($I279="","",$C279&amp;"|"&amp;COUNTIFS($C$9:$C279,$C279,$I$9:$I279,"?*"))</f>
        <v/>
      </c>
      <c r="K279" s="52">
        <f>IF($I279="","",IF($F279="",1,$F279))</f>
        <v/>
      </c>
    </row>
    <row r="280" ht="32" customHeight="1">
      <c r="A280" s="46" t="n"/>
      <c r="B280" s="47" t="n"/>
      <c r="C280" s="48">
        <f>IF($D280="","",IF(OR($A280="x",ROW()=9),Settings!$C$14&amp;TEXT(1000+COUNTIF($A$9:$A280,"x")+IF($A$9&lt;&gt;"x",1,0),"0000"),$C279))</f>
        <v/>
      </c>
      <c r="D280" s="46" t="n"/>
      <c r="E280" s="31">
        <f>IF($D280="","",IF($I280="","⚠️ Unknown code",_xlfn.XLOOKUP($I280,'Item Master'!$A$4:$A$53,'Item Master'!$C$4:$C$53,"")))</f>
        <v/>
      </c>
      <c r="F280" s="49" t="n"/>
      <c r="G280" s="36">
        <f>IF($I280="","",_xlfn.XLOOKUP($I280,'Item Master'!$A$4:$A$53,'Item Master'!$F$4:$F$53,0))</f>
        <v/>
      </c>
      <c r="H280" s="50">
        <f>IF($I280="","",$K280*$G280)</f>
        <v/>
      </c>
      <c r="I280" s="51">
        <f>IF($D280="","",IF(COUNTIF('Item Master'!$A$4:$A$53,$D280)&gt;0,$D280,_xlfn.XLOOKUP($D280,'Item Master'!$B$4:$B$53,'Item Master'!$A$4:$A$53,"")))</f>
        <v/>
      </c>
      <c r="J280" s="51">
        <f>IF($I280="","",$C280&amp;"|"&amp;COUNTIFS($C$9:$C280,$C280,$I$9:$I280,"?*"))</f>
        <v/>
      </c>
      <c r="K280" s="52">
        <f>IF($I280="","",IF($F280="",1,$F280))</f>
        <v/>
      </c>
    </row>
    <row r="281" ht="32" customHeight="1">
      <c r="A281" s="46" t="n"/>
      <c r="B281" s="47" t="n"/>
      <c r="C281" s="48">
        <f>IF($D281="","",IF(OR($A281="x",ROW()=9),Settings!$C$14&amp;TEXT(1000+COUNTIF($A$9:$A281,"x")+IF($A$9&lt;&gt;"x",1,0),"0000"),$C280))</f>
        <v/>
      </c>
      <c r="D281" s="46" t="n"/>
      <c r="E281" s="31">
        <f>IF($D281="","",IF($I281="","⚠️ Unknown code",_xlfn.XLOOKUP($I281,'Item Master'!$A$4:$A$53,'Item Master'!$C$4:$C$53,"")))</f>
        <v/>
      </c>
      <c r="F281" s="49" t="n"/>
      <c r="G281" s="36">
        <f>IF($I281="","",_xlfn.XLOOKUP($I281,'Item Master'!$A$4:$A$53,'Item Master'!$F$4:$F$53,0))</f>
        <v/>
      </c>
      <c r="H281" s="50">
        <f>IF($I281="","",$K281*$G281)</f>
        <v/>
      </c>
      <c r="I281" s="51">
        <f>IF($D281="","",IF(COUNTIF('Item Master'!$A$4:$A$53,$D281)&gt;0,$D281,_xlfn.XLOOKUP($D281,'Item Master'!$B$4:$B$53,'Item Master'!$A$4:$A$53,"")))</f>
        <v/>
      </c>
      <c r="J281" s="51">
        <f>IF($I281="","",$C281&amp;"|"&amp;COUNTIFS($C$9:$C281,$C281,$I$9:$I281,"?*"))</f>
        <v/>
      </c>
      <c r="K281" s="52">
        <f>IF($I281="","",IF($F281="",1,$F281))</f>
        <v/>
      </c>
    </row>
    <row r="282" ht="32" customHeight="1">
      <c r="A282" s="46" t="n"/>
      <c r="B282" s="47" t="n"/>
      <c r="C282" s="48">
        <f>IF($D282="","",IF(OR($A282="x",ROW()=9),Settings!$C$14&amp;TEXT(1000+COUNTIF($A$9:$A282,"x")+IF($A$9&lt;&gt;"x",1,0),"0000"),$C281))</f>
        <v/>
      </c>
      <c r="D282" s="46" t="n"/>
      <c r="E282" s="31">
        <f>IF($D282="","",IF($I282="","⚠️ Unknown code",_xlfn.XLOOKUP($I282,'Item Master'!$A$4:$A$53,'Item Master'!$C$4:$C$53,"")))</f>
        <v/>
      </c>
      <c r="F282" s="49" t="n"/>
      <c r="G282" s="36">
        <f>IF($I282="","",_xlfn.XLOOKUP($I282,'Item Master'!$A$4:$A$53,'Item Master'!$F$4:$F$53,0))</f>
        <v/>
      </c>
      <c r="H282" s="50">
        <f>IF($I282="","",$K282*$G282)</f>
        <v/>
      </c>
      <c r="I282" s="51">
        <f>IF($D282="","",IF(COUNTIF('Item Master'!$A$4:$A$53,$D282)&gt;0,$D282,_xlfn.XLOOKUP($D282,'Item Master'!$B$4:$B$53,'Item Master'!$A$4:$A$53,"")))</f>
        <v/>
      </c>
      <c r="J282" s="51">
        <f>IF($I282="","",$C282&amp;"|"&amp;COUNTIFS($C$9:$C282,$C282,$I$9:$I282,"?*"))</f>
        <v/>
      </c>
      <c r="K282" s="52">
        <f>IF($I282="","",IF($F282="",1,$F282))</f>
        <v/>
      </c>
    </row>
    <row r="283" ht="32" customHeight="1">
      <c r="A283" s="46" t="n"/>
      <c r="B283" s="47" t="n"/>
      <c r="C283" s="48">
        <f>IF($D283="","",IF(OR($A283="x",ROW()=9),Settings!$C$14&amp;TEXT(1000+COUNTIF($A$9:$A283,"x")+IF($A$9&lt;&gt;"x",1,0),"0000"),$C282))</f>
        <v/>
      </c>
      <c r="D283" s="46" t="n"/>
      <c r="E283" s="31">
        <f>IF($D283="","",IF($I283="","⚠️ Unknown code",_xlfn.XLOOKUP($I283,'Item Master'!$A$4:$A$53,'Item Master'!$C$4:$C$53,"")))</f>
        <v/>
      </c>
      <c r="F283" s="49" t="n"/>
      <c r="G283" s="36">
        <f>IF($I283="","",_xlfn.XLOOKUP($I283,'Item Master'!$A$4:$A$53,'Item Master'!$F$4:$F$53,0))</f>
        <v/>
      </c>
      <c r="H283" s="50">
        <f>IF($I283="","",$K283*$G283)</f>
        <v/>
      </c>
      <c r="I283" s="51">
        <f>IF($D283="","",IF(COUNTIF('Item Master'!$A$4:$A$53,$D283)&gt;0,$D283,_xlfn.XLOOKUP($D283,'Item Master'!$B$4:$B$53,'Item Master'!$A$4:$A$53,"")))</f>
        <v/>
      </c>
      <c r="J283" s="51">
        <f>IF($I283="","",$C283&amp;"|"&amp;COUNTIFS($C$9:$C283,$C283,$I$9:$I283,"?*"))</f>
        <v/>
      </c>
      <c r="K283" s="52">
        <f>IF($I283="","",IF($F283="",1,$F283))</f>
        <v/>
      </c>
    </row>
    <row r="284" ht="32" customHeight="1">
      <c r="A284" s="46" t="n"/>
      <c r="B284" s="47" t="n"/>
      <c r="C284" s="48">
        <f>IF($D284="","",IF(OR($A284="x",ROW()=9),Settings!$C$14&amp;TEXT(1000+COUNTIF($A$9:$A284,"x")+IF($A$9&lt;&gt;"x",1,0),"0000"),$C283))</f>
        <v/>
      </c>
      <c r="D284" s="46" t="n"/>
      <c r="E284" s="31">
        <f>IF($D284="","",IF($I284="","⚠️ Unknown code",_xlfn.XLOOKUP($I284,'Item Master'!$A$4:$A$53,'Item Master'!$C$4:$C$53,"")))</f>
        <v/>
      </c>
      <c r="F284" s="49" t="n"/>
      <c r="G284" s="36">
        <f>IF($I284="","",_xlfn.XLOOKUP($I284,'Item Master'!$A$4:$A$53,'Item Master'!$F$4:$F$53,0))</f>
        <v/>
      </c>
      <c r="H284" s="50">
        <f>IF($I284="","",$K284*$G284)</f>
        <v/>
      </c>
      <c r="I284" s="51">
        <f>IF($D284="","",IF(COUNTIF('Item Master'!$A$4:$A$53,$D284)&gt;0,$D284,_xlfn.XLOOKUP($D284,'Item Master'!$B$4:$B$53,'Item Master'!$A$4:$A$53,"")))</f>
        <v/>
      </c>
      <c r="J284" s="51">
        <f>IF($I284="","",$C284&amp;"|"&amp;COUNTIFS($C$9:$C284,$C284,$I$9:$I284,"?*"))</f>
        <v/>
      </c>
      <c r="K284" s="52">
        <f>IF($I284="","",IF($F284="",1,$F284))</f>
        <v/>
      </c>
    </row>
    <row r="285" ht="32" customHeight="1">
      <c r="A285" s="46" t="n"/>
      <c r="B285" s="47" t="n"/>
      <c r="C285" s="48">
        <f>IF($D285="","",IF(OR($A285="x",ROW()=9),Settings!$C$14&amp;TEXT(1000+COUNTIF($A$9:$A285,"x")+IF($A$9&lt;&gt;"x",1,0),"0000"),$C284))</f>
        <v/>
      </c>
      <c r="D285" s="46" t="n"/>
      <c r="E285" s="31">
        <f>IF($D285="","",IF($I285="","⚠️ Unknown code",_xlfn.XLOOKUP($I285,'Item Master'!$A$4:$A$53,'Item Master'!$C$4:$C$53,"")))</f>
        <v/>
      </c>
      <c r="F285" s="49" t="n"/>
      <c r="G285" s="36">
        <f>IF($I285="","",_xlfn.XLOOKUP($I285,'Item Master'!$A$4:$A$53,'Item Master'!$F$4:$F$53,0))</f>
        <v/>
      </c>
      <c r="H285" s="50">
        <f>IF($I285="","",$K285*$G285)</f>
        <v/>
      </c>
      <c r="I285" s="51">
        <f>IF($D285="","",IF(COUNTIF('Item Master'!$A$4:$A$53,$D285)&gt;0,$D285,_xlfn.XLOOKUP($D285,'Item Master'!$B$4:$B$53,'Item Master'!$A$4:$A$53,"")))</f>
        <v/>
      </c>
      <c r="J285" s="51">
        <f>IF($I285="","",$C285&amp;"|"&amp;COUNTIFS($C$9:$C285,$C285,$I$9:$I285,"?*"))</f>
        <v/>
      </c>
      <c r="K285" s="52">
        <f>IF($I285="","",IF($F285="",1,$F285))</f>
        <v/>
      </c>
    </row>
    <row r="286" ht="32" customHeight="1">
      <c r="A286" s="46" t="n"/>
      <c r="B286" s="47" t="n"/>
      <c r="C286" s="48">
        <f>IF($D286="","",IF(OR($A286="x",ROW()=9),Settings!$C$14&amp;TEXT(1000+COUNTIF($A$9:$A286,"x")+IF($A$9&lt;&gt;"x",1,0),"0000"),$C285))</f>
        <v/>
      </c>
      <c r="D286" s="46" t="n"/>
      <c r="E286" s="31">
        <f>IF($D286="","",IF($I286="","⚠️ Unknown code",_xlfn.XLOOKUP($I286,'Item Master'!$A$4:$A$53,'Item Master'!$C$4:$C$53,"")))</f>
        <v/>
      </c>
      <c r="F286" s="49" t="n"/>
      <c r="G286" s="36">
        <f>IF($I286="","",_xlfn.XLOOKUP($I286,'Item Master'!$A$4:$A$53,'Item Master'!$F$4:$F$53,0))</f>
        <v/>
      </c>
      <c r="H286" s="50">
        <f>IF($I286="","",$K286*$G286)</f>
        <v/>
      </c>
      <c r="I286" s="51">
        <f>IF($D286="","",IF(COUNTIF('Item Master'!$A$4:$A$53,$D286)&gt;0,$D286,_xlfn.XLOOKUP($D286,'Item Master'!$B$4:$B$53,'Item Master'!$A$4:$A$53,"")))</f>
        <v/>
      </c>
      <c r="J286" s="51">
        <f>IF($I286="","",$C286&amp;"|"&amp;COUNTIFS($C$9:$C286,$C286,$I$9:$I286,"?*"))</f>
        <v/>
      </c>
      <c r="K286" s="52">
        <f>IF($I286="","",IF($F286="",1,$F286))</f>
        <v/>
      </c>
    </row>
    <row r="287" ht="32" customHeight="1">
      <c r="A287" s="46" t="n"/>
      <c r="B287" s="47" t="n"/>
      <c r="C287" s="48">
        <f>IF($D287="","",IF(OR($A287="x",ROW()=9),Settings!$C$14&amp;TEXT(1000+COUNTIF($A$9:$A287,"x")+IF($A$9&lt;&gt;"x",1,0),"0000"),$C286))</f>
        <v/>
      </c>
      <c r="D287" s="46" t="n"/>
      <c r="E287" s="31">
        <f>IF($D287="","",IF($I287="","⚠️ Unknown code",_xlfn.XLOOKUP($I287,'Item Master'!$A$4:$A$53,'Item Master'!$C$4:$C$53,"")))</f>
        <v/>
      </c>
      <c r="F287" s="49" t="n"/>
      <c r="G287" s="36">
        <f>IF($I287="","",_xlfn.XLOOKUP($I287,'Item Master'!$A$4:$A$53,'Item Master'!$F$4:$F$53,0))</f>
        <v/>
      </c>
      <c r="H287" s="50">
        <f>IF($I287="","",$K287*$G287)</f>
        <v/>
      </c>
      <c r="I287" s="51">
        <f>IF($D287="","",IF(COUNTIF('Item Master'!$A$4:$A$53,$D287)&gt;0,$D287,_xlfn.XLOOKUP($D287,'Item Master'!$B$4:$B$53,'Item Master'!$A$4:$A$53,"")))</f>
        <v/>
      </c>
      <c r="J287" s="51">
        <f>IF($I287="","",$C287&amp;"|"&amp;COUNTIFS($C$9:$C287,$C287,$I$9:$I287,"?*"))</f>
        <v/>
      </c>
      <c r="K287" s="52">
        <f>IF($I287="","",IF($F287="",1,$F287))</f>
        <v/>
      </c>
    </row>
    <row r="288" ht="32" customHeight="1">
      <c r="A288" s="46" t="n"/>
      <c r="B288" s="47" t="n"/>
      <c r="C288" s="48">
        <f>IF($D288="","",IF(OR($A288="x",ROW()=9),Settings!$C$14&amp;TEXT(1000+COUNTIF($A$9:$A288,"x")+IF($A$9&lt;&gt;"x",1,0),"0000"),$C287))</f>
        <v/>
      </c>
      <c r="D288" s="46" t="n"/>
      <c r="E288" s="31">
        <f>IF($D288="","",IF($I288="","⚠️ Unknown code",_xlfn.XLOOKUP($I288,'Item Master'!$A$4:$A$53,'Item Master'!$C$4:$C$53,"")))</f>
        <v/>
      </c>
      <c r="F288" s="49" t="n"/>
      <c r="G288" s="36">
        <f>IF($I288="","",_xlfn.XLOOKUP($I288,'Item Master'!$A$4:$A$53,'Item Master'!$F$4:$F$53,0))</f>
        <v/>
      </c>
      <c r="H288" s="50">
        <f>IF($I288="","",$K288*$G288)</f>
        <v/>
      </c>
      <c r="I288" s="51">
        <f>IF($D288="","",IF(COUNTIF('Item Master'!$A$4:$A$53,$D288)&gt;0,$D288,_xlfn.XLOOKUP($D288,'Item Master'!$B$4:$B$53,'Item Master'!$A$4:$A$53,"")))</f>
        <v/>
      </c>
      <c r="J288" s="51">
        <f>IF($I288="","",$C288&amp;"|"&amp;COUNTIFS($C$9:$C288,$C288,$I$9:$I288,"?*"))</f>
        <v/>
      </c>
      <c r="K288" s="52">
        <f>IF($I288="","",IF($F288="",1,$F288))</f>
        <v/>
      </c>
    </row>
    <row r="289" ht="32" customHeight="1">
      <c r="A289" s="46" t="n"/>
      <c r="B289" s="47" t="n"/>
      <c r="C289" s="48">
        <f>IF($D289="","",IF(OR($A289="x",ROW()=9),Settings!$C$14&amp;TEXT(1000+COUNTIF($A$9:$A289,"x")+IF($A$9&lt;&gt;"x",1,0),"0000"),$C288))</f>
        <v/>
      </c>
      <c r="D289" s="46" t="n"/>
      <c r="E289" s="31">
        <f>IF($D289="","",IF($I289="","⚠️ Unknown code",_xlfn.XLOOKUP($I289,'Item Master'!$A$4:$A$53,'Item Master'!$C$4:$C$53,"")))</f>
        <v/>
      </c>
      <c r="F289" s="49" t="n"/>
      <c r="G289" s="36">
        <f>IF($I289="","",_xlfn.XLOOKUP($I289,'Item Master'!$A$4:$A$53,'Item Master'!$F$4:$F$53,0))</f>
        <v/>
      </c>
      <c r="H289" s="50">
        <f>IF($I289="","",$K289*$G289)</f>
        <v/>
      </c>
      <c r="I289" s="51">
        <f>IF($D289="","",IF(COUNTIF('Item Master'!$A$4:$A$53,$D289)&gt;0,$D289,_xlfn.XLOOKUP($D289,'Item Master'!$B$4:$B$53,'Item Master'!$A$4:$A$53,"")))</f>
        <v/>
      </c>
      <c r="J289" s="51">
        <f>IF($I289="","",$C289&amp;"|"&amp;COUNTIFS($C$9:$C289,$C289,$I$9:$I289,"?*"))</f>
        <v/>
      </c>
      <c r="K289" s="52">
        <f>IF($I289="","",IF($F289="",1,$F289))</f>
        <v/>
      </c>
    </row>
    <row r="290" ht="32" customHeight="1">
      <c r="A290" s="46" t="n"/>
      <c r="B290" s="47" t="n"/>
      <c r="C290" s="48">
        <f>IF($D290="","",IF(OR($A290="x",ROW()=9),Settings!$C$14&amp;TEXT(1000+COUNTIF($A$9:$A290,"x")+IF($A$9&lt;&gt;"x",1,0),"0000"),$C289))</f>
        <v/>
      </c>
      <c r="D290" s="46" t="n"/>
      <c r="E290" s="31">
        <f>IF($D290="","",IF($I290="","⚠️ Unknown code",_xlfn.XLOOKUP($I290,'Item Master'!$A$4:$A$53,'Item Master'!$C$4:$C$53,"")))</f>
        <v/>
      </c>
      <c r="F290" s="49" t="n"/>
      <c r="G290" s="36">
        <f>IF($I290="","",_xlfn.XLOOKUP($I290,'Item Master'!$A$4:$A$53,'Item Master'!$F$4:$F$53,0))</f>
        <v/>
      </c>
      <c r="H290" s="50">
        <f>IF($I290="","",$K290*$G290)</f>
        <v/>
      </c>
      <c r="I290" s="51">
        <f>IF($D290="","",IF(COUNTIF('Item Master'!$A$4:$A$53,$D290)&gt;0,$D290,_xlfn.XLOOKUP($D290,'Item Master'!$B$4:$B$53,'Item Master'!$A$4:$A$53,"")))</f>
        <v/>
      </c>
      <c r="J290" s="51">
        <f>IF($I290="","",$C290&amp;"|"&amp;COUNTIFS($C$9:$C290,$C290,$I$9:$I290,"?*"))</f>
        <v/>
      </c>
      <c r="K290" s="52">
        <f>IF($I290="","",IF($F290="",1,$F290))</f>
        <v/>
      </c>
    </row>
    <row r="291" ht="32" customHeight="1">
      <c r="A291" s="46" t="n"/>
      <c r="B291" s="47" t="n"/>
      <c r="C291" s="48">
        <f>IF($D291="","",IF(OR($A291="x",ROW()=9),Settings!$C$14&amp;TEXT(1000+COUNTIF($A$9:$A291,"x")+IF($A$9&lt;&gt;"x",1,0),"0000"),$C290))</f>
        <v/>
      </c>
      <c r="D291" s="46" t="n"/>
      <c r="E291" s="31">
        <f>IF($D291="","",IF($I291="","⚠️ Unknown code",_xlfn.XLOOKUP($I291,'Item Master'!$A$4:$A$53,'Item Master'!$C$4:$C$53,"")))</f>
        <v/>
      </c>
      <c r="F291" s="49" t="n"/>
      <c r="G291" s="36">
        <f>IF($I291="","",_xlfn.XLOOKUP($I291,'Item Master'!$A$4:$A$53,'Item Master'!$F$4:$F$53,0))</f>
        <v/>
      </c>
      <c r="H291" s="50">
        <f>IF($I291="","",$K291*$G291)</f>
        <v/>
      </c>
      <c r="I291" s="51">
        <f>IF($D291="","",IF(COUNTIF('Item Master'!$A$4:$A$53,$D291)&gt;0,$D291,_xlfn.XLOOKUP($D291,'Item Master'!$B$4:$B$53,'Item Master'!$A$4:$A$53,"")))</f>
        <v/>
      </c>
      <c r="J291" s="51">
        <f>IF($I291="","",$C291&amp;"|"&amp;COUNTIFS($C$9:$C291,$C291,$I$9:$I291,"?*"))</f>
        <v/>
      </c>
      <c r="K291" s="52">
        <f>IF($I291="","",IF($F291="",1,$F291))</f>
        <v/>
      </c>
    </row>
    <row r="292" ht="32" customHeight="1">
      <c r="A292" s="46" t="n"/>
      <c r="B292" s="47" t="n"/>
      <c r="C292" s="48">
        <f>IF($D292="","",IF(OR($A292="x",ROW()=9),Settings!$C$14&amp;TEXT(1000+COUNTIF($A$9:$A292,"x")+IF($A$9&lt;&gt;"x",1,0),"0000"),$C291))</f>
        <v/>
      </c>
      <c r="D292" s="46" t="n"/>
      <c r="E292" s="31">
        <f>IF($D292="","",IF($I292="","⚠️ Unknown code",_xlfn.XLOOKUP($I292,'Item Master'!$A$4:$A$53,'Item Master'!$C$4:$C$53,"")))</f>
        <v/>
      </c>
      <c r="F292" s="49" t="n"/>
      <c r="G292" s="36">
        <f>IF($I292="","",_xlfn.XLOOKUP($I292,'Item Master'!$A$4:$A$53,'Item Master'!$F$4:$F$53,0))</f>
        <v/>
      </c>
      <c r="H292" s="50">
        <f>IF($I292="","",$K292*$G292)</f>
        <v/>
      </c>
      <c r="I292" s="51">
        <f>IF($D292="","",IF(COUNTIF('Item Master'!$A$4:$A$53,$D292)&gt;0,$D292,_xlfn.XLOOKUP($D292,'Item Master'!$B$4:$B$53,'Item Master'!$A$4:$A$53,"")))</f>
        <v/>
      </c>
      <c r="J292" s="51">
        <f>IF($I292="","",$C292&amp;"|"&amp;COUNTIFS($C$9:$C292,$C292,$I$9:$I292,"?*"))</f>
        <v/>
      </c>
      <c r="K292" s="52">
        <f>IF($I292="","",IF($F292="",1,$F292))</f>
        <v/>
      </c>
    </row>
    <row r="293" ht="32" customHeight="1">
      <c r="A293" s="46" t="n"/>
      <c r="B293" s="47" t="n"/>
      <c r="C293" s="48">
        <f>IF($D293="","",IF(OR($A293="x",ROW()=9),Settings!$C$14&amp;TEXT(1000+COUNTIF($A$9:$A293,"x")+IF($A$9&lt;&gt;"x",1,0),"0000"),$C292))</f>
        <v/>
      </c>
      <c r="D293" s="46" t="n"/>
      <c r="E293" s="31">
        <f>IF($D293="","",IF($I293="","⚠️ Unknown code",_xlfn.XLOOKUP($I293,'Item Master'!$A$4:$A$53,'Item Master'!$C$4:$C$53,"")))</f>
        <v/>
      </c>
      <c r="F293" s="49" t="n"/>
      <c r="G293" s="36">
        <f>IF($I293="","",_xlfn.XLOOKUP($I293,'Item Master'!$A$4:$A$53,'Item Master'!$F$4:$F$53,0))</f>
        <v/>
      </c>
      <c r="H293" s="50">
        <f>IF($I293="","",$K293*$G293)</f>
        <v/>
      </c>
      <c r="I293" s="51">
        <f>IF($D293="","",IF(COUNTIF('Item Master'!$A$4:$A$53,$D293)&gt;0,$D293,_xlfn.XLOOKUP($D293,'Item Master'!$B$4:$B$53,'Item Master'!$A$4:$A$53,"")))</f>
        <v/>
      </c>
      <c r="J293" s="51">
        <f>IF($I293="","",$C293&amp;"|"&amp;COUNTIFS($C$9:$C293,$C293,$I$9:$I293,"?*"))</f>
        <v/>
      </c>
      <c r="K293" s="52">
        <f>IF($I293="","",IF($F293="",1,$F293))</f>
        <v/>
      </c>
    </row>
    <row r="294" ht="32" customHeight="1">
      <c r="A294" s="46" t="n"/>
      <c r="B294" s="47" t="n"/>
      <c r="C294" s="48">
        <f>IF($D294="","",IF(OR($A294="x",ROW()=9),Settings!$C$14&amp;TEXT(1000+COUNTIF($A$9:$A294,"x")+IF($A$9&lt;&gt;"x",1,0),"0000"),$C293))</f>
        <v/>
      </c>
      <c r="D294" s="46" t="n"/>
      <c r="E294" s="31">
        <f>IF($D294="","",IF($I294="","⚠️ Unknown code",_xlfn.XLOOKUP($I294,'Item Master'!$A$4:$A$53,'Item Master'!$C$4:$C$53,"")))</f>
        <v/>
      </c>
      <c r="F294" s="49" t="n"/>
      <c r="G294" s="36">
        <f>IF($I294="","",_xlfn.XLOOKUP($I294,'Item Master'!$A$4:$A$53,'Item Master'!$F$4:$F$53,0))</f>
        <v/>
      </c>
      <c r="H294" s="50">
        <f>IF($I294="","",$K294*$G294)</f>
        <v/>
      </c>
      <c r="I294" s="51">
        <f>IF($D294="","",IF(COUNTIF('Item Master'!$A$4:$A$53,$D294)&gt;0,$D294,_xlfn.XLOOKUP($D294,'Item Master'!$B$4:$B$53,'Item Master'!$A$4:$A$53,"")))</f>
        <v/>
      </c>
      <c r="J294" s="51">
        <f>IF($I294="","",$C294&amp;"|"&amp;COUNTIFS($C$9:$C294,$C294,$I$9:$I294,"?*"))</f>
        <v/>
      </c>
      <c r="K294" s="52">
        <f>IF($I294="","",IF($F294="",1,$F294))</f>
        <v/>
      </c>
    </row>
    <row r="295" ht="32" customHeight="1">
      <c r="A295" s="46" t="n"/>
      <c r="B295" s="47" t="n"/>
      <c r="C295" s="48">
        <f>IF($D295="","",IF(OR($A295="x",ROW()=9),Settings!$C$14&amp;TEXT(1000+COUNTIF($A$9:$A295,"x")+IF($A$9&lt;&gt;"x",1,0),"0000"),$C294))</f>
        <v/>
      </c>
      <c r="D295" s="46" t="n"/>
      <c r="E295" s="31">
        <f>IF($D295="","",IF($I295="","⚠️ Unknown code",_xlfn.XLOOKUP($I295,'Item Master'!$A$4:$A$53,'Item Master'!$C$4:$C$53,"")))</f>
        <v/>
      </c>
      <c r="F295" s="49" t="n"/>
      <c r="G295" s="36">
        <f>IF($I295="","",_xlfn.XLOOKUP($I295,'Item Master'!$A$4:$A$53,'Item Master'!$F$4:$F$53,0))</f>
        <v/>
      </c>
      <c r="H295" s="50">
        <f>IF($I295="","",$K295*$G295)</f>
        <v/>
      </c>
      <c r="I295" s="51">
        <f>IF($D295="","",IF(COUNTIF('Item Master'!$A$4:$A$53,$D295)&gt;0,$D295,_xlfn.XLOOKUP($D295,'Item Master'!$B$4:$B$53,'Item Master'!$A$4:$A$53,"")))</f>
        <v/>
      </c>
      <c r="J295" s="51">
        <f>IF($I295="","",$C295&amp;"|"&amp;COUNTIFS($C$9:$C295,$C295,$I$9:$I295,"?*"))</f>
        <v/>
      </c>
      <c r="K295" s="52">
        <f>IF($I295="","",IF($F295="",1,$F295))</f>
        <v/>
      </c>
    </row>
    <row r="296" ht="32" customHeight="1">
      <c r="A296" s="46" t="n"/>
      <c r="B296" s="47" t="n"/>
      <c r="C296" s="48">
        <f>IF($D296="","",IF(OR($A296="x",ROW()=9),Settings!$C$14&amp;TEXT(1000+COUNTIF($A$9:$A296,"x")+IF($A$9&lt;&gt;"x",1,0),"0000"),$C295))</f>
        <v/>
      </c>
      <c r="D296" s="46" t="n"/>
      <c r="E296" s="31">
        <f>IF($D296="","",IF($I296="","⚠️ Unknown code",_xlfn.XLOOKUP($I296,'Item Master'!$A$4:$A$53,'Item Master'!$C$4:$C$53,"")))</f>
        <v/>
      </c>
      <c r="F296" s="49" t="n"/>
      <c r="G296" s="36">
        <f>IF($I296="","",_xlfn.XLOOKUP($I296,'Item Master'!$A$4:$A$53,'Item Master'!$F$4:$F$53,0))</f>
        <v/>
      </c>
      <c r="H296" s="50">
        <f>IF($I296="","",$K296*$G296)</f>
        <v/>
      </c>
      <c r="I296" s="51">
        <f>IF($D296="","",IF(COUNTIF('Item Master'!$A$4:$A$53,$D296)&gt;0,$D296,_xlfn.XLOOKUP($D296,'Item Master'!$B$4:$B$53,'Item Master'!$A$4:$A$53,"")))</f>
        <v/>
      </c>
      <c r="J296" s="51">
        <f>IF($I296="","",$C296&amp;"|"&amp;COUNTIFS($C$9:$C296,$C296,$I$9:$I296,"?*"))</f>
        <v/>
      </c>
      <c r="K296" s="52">
        <f>IF($I296="","",IF($F296="",1,$F296))</f>
        <v/>
      </c>
    </row>
    <row r="297" ht="32" customHeight="1">
      <c r="A297" s="46" t="n"/>
      <c r="B297" s="47" t="n"/>
      <c r="C297" s="48">
        <f>IF($D297="","",IF(OR($A297="x",ROW()=9),Settings!$C$14&amp;TEXT(1000+COUNTIF($A$9:$A297,"x")+IF($A$9&lt;&gt;"x",1,0),"0000"),$C296))</f>
        <v/>
      </c>
      <c r="D297" s="46" t="n"/>
      <c r="E297" s="31">
        <f>IF($D297="","",IF($I297="","⚠️ Unknown code",_xlfn.XLOOKUP($I297,'Item Master'!$A$4:$A$53,'Item Master'!$C$4:$C$53,"")))</f>
        <v/>
      </c>
      <c r="F297" s="49" t="n"/>
      <c r="G297" s="36">
        <f>IF($I297="","",_xlfn.XLOOKUP($I297,'Item Master'!$A$4:$A$53,'Item Master'!$F$4:$F$53,0))</f>
        <v/>
      </c>
      <c r="H297" s="50">
        <f>IF($I297="","",$K297*$G297)</f>
        <v/>
      </c>
      <c r="I297" s="51">
        <f>IF($D297="","",IF(COUNTIF('Item Master'!$A$4:$A$53,$D297)&gt;0,$D297,_xlfn.XLOOKUP($D297,'Item Master'!$B$4:$B$53,'Item Master'!$A$4:$A$53,"")))</f>
        <v/>
      </c>
      <c r="J297" s="51">
        <f>IF($I297="","",$C297&amp;"|"&amp;COUNTIFS($C$9:$C297,$C297,$I$9:$I297,"?*"))</f>
        <v/>
      </c>
      <c r="K297" s="52">
        <f>IF($I297="","",IF($F297="",1,$F297))</f>
        <v/>
      </c>
    </row>
    <row r="298" ht="32" customHeight="1">
      <c r="A298" s="46" t="n"/>
      <c r="B298" s="47" t="n"/>
      <c r="C298" s="48">
        <f>IF($D298="","",IF(OR($A298="x",ROW()=9),Settings!$C$14&amp;TEXT(1000+COUNTIF($A$9:$A298,"x")+IF($A$9&lt;&gt;"x",1,0),"0000"),$C297))</f>
        <v/>
      </c>
      <c r="D298" s="46" t="n"/>
      <c r="E298" s="31">
        <f>IF($D298="","",IF($I298="","⚠️ Unknown code",_xlfn.XLOOKUP($I298,'Item Master'!$A$4:$A$53,'Item Master'!$C$4:$C$53,"")))</f>
        <v/>
      </c>
      <c r="F298" s="49" t="n"/>
      <c r="G298" s="36">
        <f>IF($I298="","",_xlfn.XLOOKUP($I298,'Item Master'!$A$4:$A$53,'Item Master'!$F$4:$F$53,0))</f>
        <v/>
      </c>
      <c r="H298" s="50">
        <f>IF($I298="","",$K298*$G298)</f>
        <v/>
      </c>
      <c r="I298" s="51">
        <f>IF($D298="","",IF(COUNTIF('Item Master'!$A$4:$A$53,$D298)&gt;0,$D298,_xlfn.XLOOKUP($D298,'Item Master'!$B$4:$B$53,'Item Master'!$A$4:$A$53,"")))</f>
        <v/>
      </c>
      <c r="J298" s="51">
        <f>IF($I298="","",$C298&amp;"|"&amp;COUNTIFS($C$9:$C298,$C298,$I$9:$I298,"?*"))</f>
        <v/>
      </c>
      <c r="K298" s="52">
        <f>IF($I298="","",IF($F298="",1,$F298))</f>
        <v/>
      </c>
    </row>
    <row r="299" ht="32" customHeight="1">
      <c r="A299" s="46" t="n"/>
      <c r="B299" s="47" t="n"/>
      <c r="C299" s="48">
        <f>IF($D299="","",IF(OR($A299="x",ROW()=9),Settings!$C$14&amp;TEXT(1000+COUNTIF($A$9:$A299,"x")+IF($A$9&lt;&gt;"x",1,0),"0000"),$C298))</f>
        <v/>
      </c>
      <c r="D299" s="46" t="n"/>
      <c r="E299" s="31">
        <f>IF($D299="","",IF($I299="","⚠️ Unknown code",_xlfn.XLOOKUP($I299,'Item Master'!$A$4:$A$53,'Item Master'!$C$4:$C$53,"")))</f>
        <v/>
      </c>
      <c r="F299" s="49" t="n"/>
      <c r="G299" s="36">
        <f>IF($I299="","",_xlfn.XLOOKUP($I299,'Item Master'!$A$4:$A$53,'Item Master'!$F$4:$F$53,0))</f>
        <v/>
      </c>
      <c r="H299" s="50">
        <f>IF($I299="","",$K299*$G299)</f>
        <v/>
      </c>
      <c r="I299" s="51">
        <f>IF($D299="","",IF(COUNTIF('Item Master'!$A$4:$A$53,$D299)&gt;0,$D299,_xlfn.XLOOKUP($D299,'Item Master'!$B$4:$B$53,'Item Master'!$A$4:$A$53,"")))</f>
        <v/>
      </c>
      <c r="J299" s="51">
        <f>IF($I299="","",$C299&amp;"|"&amp;COUNTIFS($C$9:$C299,$C299,$I$9:$I299,"?*"))</f>
        <v/>
      </c>
      <c r="K299" s="52">
        <f>IF($I299="","",IF($F299="",1,$F299))</f>
        <v/>
      </c>
    </row>
    <row r="300" ht="32" customHeight="1">
      <c r="A300" s="46" t="n"/>
      <c r="B300" s="47" t="n"/>
      <c r="C300" s="48">
        <f>IF($D300="","",IF(OR($A300="x",ROW()=9),Settings!$C$14&amp;TEXT(1000+COUNTIF($A$9:$A300,"x")+IF($A$9&lt;&gt;"x",1,0),"0000"),$C299))</f>
        <v/>
      </c>
      <c r="D300" s="46" t="n"/>
      <c r="E300" s="31">
        <f>IF($D300="","",IF($I300="","⚠️ Unknown code",_xlfn.XLOOKUP($I300,'Item Master'!$A$4:$A$53,'Item Master'!$C$4:$C$53,"")))</f>
        <v/>
      </c>
      <c r="F300" s="49" t="n"/>
      <c r="G300" s="36">
        <f>IF($I300="","",_xlfn.XLOOKUP($I300,'Item Master'!$A$4:$A$53,'Item Master'!$F$4:$F$53,0))</f>
        <v/>
      </c>
      <c r="H300" s="50">
        <f>IF($I300="","",$K300*$G300)</f>
        <v/>
      </c>
      <c r="I300" s="51">
        <f>IF($D300="","",IF(COUNTIF('Item Master'!$A$4:$A$53,$D300)&gt;0,$D300,_xlfn.XLOOKUP($D300,'Item Master'!$B$4:$B$53,'Item Master'!$A$4:$A$53,"")))</f>
        <v/>
      </c>
      <c r="J300" s="51">
        <f>IF($I300="","",$C300&amp;"|"&amp;COUNTIFS($C$9:$C300,$C300,$I$9:$I300,"?*"))</f>
        <v/>
      </c>
      <c r="K300" s="52">
        <f>IF($I300="","",IF($F300="",1,$F300))</f>
        <v/>
      </c>
    </row>
    <row r="301" ht="32" customHeight="1">
      <c r="A301" s="46" t="n"/>
      <c r="B301" s="47" t="n"/>
      <c r="C301" s="48">
        <f>IF($D301="","",IF(OR($A301="x",ROW()=9),Settings!$C$14&amp;TEXT(1000+COUNTIF($A$9:$A301,"x")+IF($A$9&lt;&gt;"x",1,0),"0000"),$C300))</f>
        <v/>
      </c>
      <c r="D301" s="46" t="n"/>
      <c r="E301" s="31">
        <f>IF($D301="","",IF($I301="","⚠️ Unknown code",_xlfn.XLOOKUP($I301,'Item Master'!$A$4:$A$53,'Item Master'!$C$4:$C$53,"")))</f>
        <v/>
      </c>
      <c r="F301" s="49" t="n"/>
      <c r="G301" s="36">
        <f>IF($I301="","",_xlfn.XLOOKUP($I301,'Item Master'!$A$4:$A$53,'Item Master'!$F$4:$F$53,0))</f>
        <v/>
      </c>
      <c r="H301" s="50">
        <f>IF($I301="","",$K301*$G301)</f>
        <v/>
      </c>
      <c r="I301" s="51">
        <f>IF($D301="","",IF(COUNTIF('Item Master'!$A$4:$A$53,$D301)&gt;0,$D301,_xlfn.XLOOKUP($D301,'Item Master'!$B$4:$B$53,'Item Master'!$A$4:$A$53,"")))</f>
        <v/>
      </c>
      <c r="J301" s="51">
        <f>IF($I301="","",$C301&amp;"|"&amp;COUNTIFS($C$9:$C301,$C301,$I$9:$I301,"?*"))</f>
        <v/>
      </c>
      <c r="K301" s="52">
        <f>IF($I301="","",IF($F301="",1,$F301))</f>
        <v/>
      </c>
    </row>
    <row r="302" ht="32" customHeight="1">
      <c r="A302" s="46" t="n"/>
      <c r="B302" s="47" t="n"/>
      <c r="C302" s="48">
        <f>IF($D302="","",IF(OR($A302="x",ROW()=9),Settings!$C$14&amp;TEXT(1000+COUNTIF($A$9:$A302,"x")+IF($A$9&lt;&gt;"x",1,0),"0000"),$C301))</f>
        <v/>
      </c>
      <c r="D302" s="46" t="n"/>
      <c r="E302" s="31">
        <f>IF($D302="","",IF($I302="","⚠️ Unknown code",_xlfn.XLOOKUP($I302,'Item Master'!$A$4:$A$53,'Item Master'!$C$4:$C$53,"")))</f>
        <v/>
      </c>
      <c r="F302" s="49" t="n"/>
      <c r="G302" s="36">
        <f>IF($I302="","",_xlfn.XLOOKUP($I302,'Item Master'!$A$4:$A$53,'Item Master'!$F$4:$F$53,0))</f>
        <v/>
      </c>
      <c r="H302" s="50">
        <f>IF($I302="","",$K302*$G302)</f>
        <v/>
      </c>
      <c r="I302" s="51">
        <f>IF($D302="","",IF(COUNTIF('Item Master'!$A$4:$A$53,$D302)&gt;0,$D302,_xlfn.XLOOKUP($D302,'Item Master'!$B$4:$B$53,'Item Master'!$A$4:$A$53,"")))</f>
        <v/>
      </c>
      <c r="J302" s="51">
        <f>IF($I302="","",$C302&amp;"|"&amp;COUNTIFS($C$9:$C302,$C302,$I$9:$I302,"?*"))</f>
        <v/>
      </c>
      <c r="K302" s="52">
        <f>IF($I302="","",IF($F302="",1,$F302))</f>
        <v/>
      </c>
    </row>
    <row r="303" ht="32" customHeight="1">
      <c r="A303" s="46" t="n"/>
      <c r="B303" s="47" t="n"/>
      <c r="C303" s="48">
        <f>IF($D303="","",IF(OR($A303="x",ROW()=9),Settings!$C$14&amp;TEXT(1000+COUNTIF($A$9:$A303,"x")+IF($A$9&lt;&gt;"x",1,0),"0000"),$C302))</f>
        <v/>
      </c>
      <c r="D303" s="46" t="n"/>
      <c r="E303" s="31">
        <f>IF($D303="","",IF($I303="","⚠️ Unknown code",_xlfn.XLOOKUP($I303,'Item Master'!$A$4:$A$53,'Item Master'!$C$4:$C$53,"")))</f>
        <v/>
      </c>
      <c r="F303" s="49" t="n"/>
      <c r="G303" s="36">
        <f>IF($I303="","",_xlfn.XLOOKUP($I303,'Item Master'!$A$4:$A$53,'Item Master'!$F$4:$F$53,0))</f>
        <v/>
      </c>
      <c r="H303" s="50">
        <f>IF($I303="","",$K303*$G303)</f>
        <v/>
      </c>
      <c r="I303" s="51">
        <f>IF($D303="","",IF(COUNTIF('Item Master'!$A$4:$A$53,$D303)&gt;0,$D303,_xlfn.XLOOKUP($D303,'Item Master'!$B$4:$B$53,'Item Master'!$A$4:$A$53,"")))</f>
        <v/>
      </c>
      <c r="J303" s="51">
        <f>IF($I303="","",$C303&amp;"|"&amp;COUNTIFS($C$9:$C303,$C303,$I$9:$I303,"?*"))</f>
        <v/>
      </c>
      <c r="K303" s="52">
        <f>IF($I303="","",IF($F303="",1,$F303))</f>
        <v/>
      </c>
    </row>
    <row r="304" ht="32" customHeight="1">
      <c r="A304" s="46" t="n"/>
      <c r="B304" s="47" t="n"/>
      <c r="C304" s="48">
        <f>IF($D304="","",IF(OR($A304="x",ROW()=9),Settings!$C$14&amp;TEXT(1000+COUNTIF($A$9:$A304,"x")+IF($A$9&lt;&gt;"x",1,0),"0000"),$C303))</f>
        <v/>
      </c>
      <c r="D304" s="46" t="n"/>
      <c r="E304" s="31">
        <f>IF($D304="","",IF($I304="","⚠️ Unknown code",_xlfn.XLOOKUP($I304,'Item Master'!$A$4:$A$53,'Item Master'!$C$4:$C$53,"")))</f>
        <v/>
      </c>
      <c r="F304" s="49" t="n"/>
      <c r="G304" s="36">
        <f>IF($I304="","",_xlfn.XLOOKUP($I304,'Item Master'!$A$4:$A$53,'Item Master'!$F$4:$F$53,0))</f>
        <v/>
      </c>
      <c r="H304" s="50">
        <f>IF($I304="","",$K304*$G304)</f>
        <v/>
      </c>
      <c r="I304" s="51">
        <f>IF($D304="","",IF(COUNTIF('Item Master'!$A$4:$A$53,$D304)&gt;0,$D304,_xlfn.XLOOKUP($D304,'Item Master'!$B$4:$B$53,'Item Master'!$A$4:$A$53,"")))</f>
        <v/>
      </c>
      <c r="J304" s="51">
        <f>IF($I304="","",$C304&amp;"|"&amp;COUNTIFS($C$9:$C304,$C304,$I$9:$I304,"?*"))</f>
        <v/>
      </c>
      <c r="K304" s="52">
        <f>IF($I304="","",IF($F304="",1,$F304))</f>
        <v/>
      </c>
    </row>
    <row r="305" ht="32" customHeight="1">
      <c r="A305" s="46" t="n"/>
      <c r="B305" s="47" t="n"/>
      <c r="C305" s="48">
        <f>IF($D305="","",IF(OR($A305="x",ROW()=9),Settings!$C$14&amp;TEXT(1000+COUNTIF($A$9:$A305,"x")+IF($A$9&lt;&gt;"x",1,0),"0000"),$C304))</f>
        <v/>
      </c>
      <c r="D305" s="46" t="n"/>
      <c r="E305" s="31">
        <f>IF($D305="","",IF($I305="","⚠️ Unknown code",_xlfn.XLOOKUP($I305,'Item Master'!$A$4:$A$53,'Item Master'!$C$4:$C$53,"")))</f>
        <v/>
      </c>
      <c r="F305" s="49" t="n"/>
      <c r="G305" s="36">
        <f>IF($I305="","",_xlfn.XLOOKUP($I305,'Item Master'!$A$4:$A$53,'Item Master'!$F$4:$F$53,0))</f>
        <v/>
      </c>
      <c r="H305" s="50">
        <f>IF($I305="","",$K305*$G305)</f>
        <v/>
      </c>
      <c r="I305" s="51">
        <f>IF($D305="","",IF(COUNTIF('Item Master'!$A$4:$A$53,$D305)&gt;0,$D305,_xlfn.XLOOKUP($D305,'Item Master'!$B$4:$B$53,'Item Master'!$A$4:$A$53,"")))</f>
        <v/>
      </c>
      <c r="J305" s="51">
        <f>IF($I305="","",$C305&amp;"|"&amp;COUNTIFS($C$9:$C305,$C305,$I$9:$I305,"?*"))</f>
        <v/>
      </c>
      <c r="K305" s="52">
        <f>IF($I305="","",IF($F305="",1,$F305))</f>
        <v/>
      </c>
    </row>
    <row r="306" ht="32" customHeight="1">
      <c r="A306" s="46" t="n"/>
      <c r="B306" s="47" t="n"/>
      <c r="C306" s="48">
        <f>IF($D306="","",IF(OR($A306="x",ROW()=9),Settings!$C$14&amp;TEXT(1000+COUNTIF($A$9:$A306,"x")+IF($A$9&lt;&gt;"x",1,0),"0000"),$C305))</f>
        <v/>
      </c>
      <c r="D306" s="46" t="n"/>
      <c r="E306" s="31">
        <f>IF($D306="","",IF($I306="","⚠️ Unknown code",_xlfn.XLOOKUP($I306,'Item Master'!$A$4:$A$53,'Item Master'!$C$4:$C$53,"")))</f>
        <v/>
      </c>
      <c r="F306" s="49" t="n"/>
      <c r="G306" s="36">
        <f>IF($I306="","",_xlfn.XLOOKUP($I306,'Item Master'!$A$4:$A$53,'Item Master'!$F$4:$F$53,0))</f>
        <v/>
      </c>
      <c r="H306" s="50">
        <f>IF($I306="","",$K306*$G306)</f>
        <v/>
      </c>
      <c r="I306" s="51">
        <f>IF($D306="","",IF(COUNTIF('Item Master'!$A$4:$A$53,$D306)&gt;0,$D306,_xlfn.XLOOKUP($D306,'Item Master'!$B$4:$B$53,'Item Master'!$A$4:$A$53,"")))</f>
        <v/>
      </c>
      <c r="J306" s="51">
        <f>IF($I306="","",$C306&amp;"|"&amp;COUNTIFS($C$9:$C306,$C306,$I$9:$I306,"?*"))</f>
        <v/>
      </c>
      <c r="K306" s="52">
        <f>IF($I306="","",IF($F306="",1,$F306))</f>
        <v/>
      </c>
    </row>
    <row r="307" ht="32" customHeight="1">
      <c r="A307" s="46" t="n"/>
      <c r="B307" s="47" t="n"/>
      <c r="C307" s="48">
        <f>IF($D307="","",IF(OR($A307="x",ROW()=9),Settings!$C$14&amp;TEXT(1000+COUNTIF($A$9:$A307,"x")+IF($A$9&lt;&gt;"x",1,0),"0000"),$C306))</f>
        <v/>
      </c>
      <c r="D307" s="46" t="n"/>
      <c r="E307" s="31">
        <f>IF($D307="","",IF($I307="","⚠️ Unknown code",_xlfn.XLOOKUP($I307,'Item Master'!$A$4:$A$53,'Item Master'!$C$4:$C$53,"")))</f>
        <v/>
      </c>
      <c r="F307" s="49" t="n"/>
      <c r="G307" s="36">
        <f>IF($I307="","",_xlfn.XLOOKUP($I307,'Item Master'!$A$4:$A$53,'Item Master'!$F$4:$F$53,0))</f>
        <v/>
      </c>
      <c r="H307" s="50">
        <f>IF($I307="","",$K307*$G307)</f>
        <v/>
      </c>
      <c r="I307" s="51">
        <f>IF($D307="","",IF(COUNTIF('Item Master'!$A$4:$A$53,$D307)&gt;0,$D307,_xlfn.XLOOKUP($D307,'Item Master'!$B$4:$B$53,'Item Master'!$A$4:$A$53,"")))</f>
        <v/>
      </c>
      <c r="J307" s="51">
        <f>IF($I307="","",$C307&amp;"|"&amp;COUNTIFS($C$9:$C307,$C307,$I$9:$I307,"?*"))</f>
        <v/>
      </c>
      <c r="K307" s="52">
        <f>IF($I307="","",IF($F307="",1,$F307))</f>
        <v/>
      </c>
    </row>
    <row r="308" ht="32" customHeight="1">
      <c r="A308" s="46" t="n"/>
      <c r="B308" s="47" t="n"/>
      <c r="C308" s="48">
        <f>IF($D308="","",IF(OR($A308="x",ROW()=9),Settings!$C$14&amp;TEXT(1000+COUNTIF($A$9:$A308,"x")+IF($A$9&lt;&gt;"x",1,0),"0000"),$C307))</f>
        <v/>
      </c>
      <c r="D308" s="46" t="n"/>
      <c r="E308" s="31">
        <f>IF($D308="","",IF($I308="","⚠️ Unknown code",_xlfn.XLOOKUP($I308,'Item Master'!$A$4:$A$53,'Item Master'!$C$4:$C$53,"")))</f>
        <v/>
      </c>
      <c r="F308" s="49" t="n"/>
      <c r="G308" s="36">
        <f>IF($I308="","",_xlfn.XLOOKUP($I308,'Item Master'!$A$4:$A$53,'Item Master'!$F$4:$F$53,0))</f>
        <v/>
      </c>
      <c r="H308" s="50">
        <f>IF($I308="","",$K308*$G308)</f>
        <v/>
      </c>
      <c r="I308" s="51">
        <f>IF($D308="","",IF(COUNTIF('Item Master'!$A$4:$A$53,$D308)&gt;0,$D308,_xlfn.XLOOKUP($D308,'Item Master'!$B$4:$B$53,'Item Master'!$A$4:$A$53,"")))</f>
        <v/>
      </c>
      <c r="J308" s="51">
        <f>IF($I308="","",$C308&amp;"|"&amp;COUNTIFS($C$9:$C308,$C308,$I$9:$I308,"?*"))</f>
        <v/>
      </c>
      <c r="K308" s="52">
        <f>IF($I308="","",IF($F308="",1,$F308))</f>
        <v/>
      </c>
    </row>
    <row r="30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</row>
    <row r="310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</row>
    <row r="31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</row>
    <row r="312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</row>
    <row r="313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</row>
    <row r="314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</row>
    <row r="315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</row>
    <row r="316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</row>
    <row r="317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</row>
    <row r="31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</row>
    <row r="31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</row>
    <row r="320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</row>
    <row r="32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</row>
    <row r="322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</row>
    <row r="323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</row>
    <row r="324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</row>
    <row r="325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</row>
    <row r="326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</row>
    <row r="327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</row>
    <row r="3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</row>
    <row r="32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</row>
    <row r="330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</row>
    <row r="3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</row>
    <row r="332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</row>
    <row r="333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</row>
    <row r="334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</row>
    <row r="335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</row>
    <row r="336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</row>
    <row r="337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</row>
    <row r="33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</row>
    <row r="33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</row>
  </sheetData>
  <mergeCells count="8">
    <mergeCell ref="A4:H4"/>
    <mergeCell ref="D7:E7"/>
    <mergeCell ref="A1:B1"/>
    <mergeCell ref="A5:H5"/>
    <mergeCell ref="A7:C7"/>
    <mergeCell ref="F1:G1"/>
    <mergeCell ref="A6:H6"/>
    <mergeCell ref="F7:G7"/>
  </mergeCells>
  <conditionalFormatting sqref="E9:E308">
    <cfRule type="expression" priority="1" dxfId="0">
      <formula>$E9="⚠️ Unknown code"</formula>
    </cfRule>
  </conditionalFormatting>
  <conditionalFormatting sqref="A9:H308">
    <cfRule type="expression" priority="2" dxfId="5" stopIfTrue="0">
      <formula>AND($C9&lt;&gt;"",$C9=IFERROR(INDEX('Sales Log'!$A$8:$A$107,MAX(1,COUNTIF('Sales Log'!$A$8:$A$107,"?*"))),""))</formula>
    </cfRule>
  </conditionalFormatting>
  <dataValidations count="3">
    <dataValidation sqref="A9:A308" showDropDown="0" showInputMessage="0" showErrorMessage="0" allowBlank="1" promptTitle="🆕 New sale?" prompt="Tap and choose x to start a NEW sale. Leave blank to add another line to the sale above." type="list">
      <formula1>"x"</formula1>
    </dataValidation>
    <dataValidation sqref="D9:D308" showDropDown="0" showInputMessage="0" showErrorMessage="0" allowBlank="1" promptTitle="🔎 Scan or select" prompt="Tap the arrow to pick, start typing to search, or scan a barcode straight in." type="list">
      <formula1>SKU_List</formula1>
    </dataValidation>
    <dataValidation sqref="F9:F308" showDropDown="0" showInputMessage="0" showErrorMessage="0" allowBlank="1" errorTitle="Invalid quantity" error="Quantity must be a whole number above zero." promptTitle="🔢 Quantity" prompt="Leave blank for 1." type="whole" operator="greaterThan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B45309"/>
    <outlinePr summaryBelow="1" summaryRight="1"/>
    <pageSetUpPr/>
  </sheetPr>
  <dimension ref="A1:I339"/>
  <sheetViews>
    <sheetView showGridLines="0" showRowColHeaders="0" tabSelected="0" zoomScale="10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7" customWidth="1" min="3" max="3"/>
    <col width="14" customWidth="1" min="4" max="4"/>
    <col width="30" customWidth="1" min="5" max="5"/>
    <col width="8" customWidth="1" min="6" max="6"/>
    <col width="12" customWidth="1" min="7" max="7"/>
    <col width="13" customWidth="1" min="8" max="8"/>
    <col hidden="1" width="12" customWidth="1" min="9" max="9"/>
  </cols>
  <sheetData>
    <row r="1" ht="40" customHeight="1">
      <c r="A1" s="1">
        <f>HYPERLINK("#'Dashboard'!A1","🏠 Home")</f>
        <v/>
      </c>
      <c r="B1" s="1">
        <f>HYPERLINK("#'Item Master'!A1","📦 Items")</f>
        <v/>
      </c>
      <c r="C1" s="1">
        <f>HYPERLINK("#'Log Sale'!A1","🛒 New Sale")</f>
        <v/>
      </c>
      <c r="D1" s="1">
        <f>HYPERLINK("#'Stock In'!A1","📥 Stock In")</f>
        <v/>
      </c>
      <c r="E1" s="1">
        <f>HYPERLINK("#'Invoice Generator'!A1","🧾 Invoice")</f>
        <v/>
      </c>
      <c r="F1" s="1">
        <f>HYPERLINK("#'Sales Log'!A1","📊 Logs")</f>
        <v/>
      </c>
      <c r="H1" s="15" t="n"/>
      <c r="I1" s="15" t="n"/>
    </row>
    <row r="2" ht="6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0" customHeight="1">
      <c r="A4" s="16" t="inlineStr">
        <is>
          <t>GOODS RECEIVED</t>
        </is>
      </c>
      <c r="I4" s="3" t="n"/>
    </row>
    <row r="5" ht="34" customHeight="1">
      <c r="A5" s="17" t="inlineStr">
        <is>
          <t>📥 Stock In</t>
        </is>
      </c>
      <c r="I5" s="3" t="n"/>
    </row>
    <row r="6" ht="20" customHeight="1">
      <c r="A6" s="18" t="inlineStr">
        <is>
          <t>Deliveries go in as IN. Damage, loss and theft go in as SHRINKAGE.</t>
        </is>
      </c>
      <c r="I6" s="3" t="n"/>
    </row>
    <row r="7" ht="38" customHeight="1">
      <c r="A7" s="29" t="inlineStr">
        <is>
          <t>📅 Date</t>
        </is>
      </c>
      <c r="B7" s="29" t="inlineStr">
        <is>
          <t>🔖 Ref / PO</t>
        </is>
      </c>
      <c r="C7" s="29" t="inlineStr">
        <is>
          <t>🔎 SKU / Scan</t>
        </is>
      </c>
      <c r="D7" s="29" t="inlineStr">
        <is>
          <t>🔄 Type</t>
        </is>
      </c>
      <c r="E7" s="29" t="inlineStr">
        <is>
          <t>📦 Product</t>
        </is>
      </c>
      <c r="F7" s="29" t="inlineStr">
        <is>
          <t>🔢 Qty</t>
        </is>
      </c>
      <c r="G7" s="29" t="inlineStr">
        <is>
          <t>💲 Unit Cost</t>
        </is>
      </c>
      <c r="H7" s="29" t="inlineStr">
        <is>
          <t>💵 Total</t>
        </is>
      </c>
      <c r="I7" s="29" t="inlineStr">
        <is>
          <t>_SKU</t>
        </is>
      </c>
    </row>
    <row r="8" ht="32" customHeight="1">
      <c r="A8" s="47" t="n">
        <v>46235</v>
      </c>
      <c r="B8" s="46" t="inlineStr">
        <is>
          <t>PO-2001</t>
        </is>
      </c>
      <c r="C8" s="46" t="inlineStr">
        <is>
          <t>LAV-001</t>
        </is>
      </c>
      <c r="D8" s="46" t="inlineStr">
        <is>
          <t>IN</t>
        </is>
      </c>
      <c r="E8" s="31">
        <f>IF($C8="","",IF($I8="","⚠️ Unknown code",_xlfn.XLOOKUP($I8,'Item Master'!$A$4:$A$53,'Item Master'!$C$4:$C$53,"")))</f>
        <v/>
      </c>
      <c r="F8" s="49" t="n">
        <v>100</v>
      </c>
      <c r="G8" s="36">
        <f>IF($I8="","",_xlfn.XLOOKUP($I8,'Item Master'!$A$4:$A$53,'Item Master'!$E$4:$E$53,0))</f>
        <v/>
      </c>
      <c r="H8" s="50">
        <f>IF($I8="","",$F8*$G8)</f>
        <v/>
      </c>
      <c r="I8" s="51">
        <f>IF($C8="","",IF(COUNTIF('Item Master'!$A$4:$A$53,$C8)&gt;0,$C8,_xlfn.XLOOKUP($C8,'Item Master'!$B$4:$B$53,'Item Master'!$A$4:$A$53,"")))</f>
        <v/>
      </c>
    </row>
    <row r="9" ht="32" customHeight="1">
      <c r="A9" s="47" t="n">
        <v>46235</v>
      </c>
      <c r="B9" s="46" t="inlineStr">
        <is>
          <t>PO-2001</t>
        </is>
      </c>
      <c r="C9" s="46" t="inlineStr">
        <is>
          <t>CER-014</t>
        </is>
      </c>
      <c r="D9" s="46" t="inlineStr">
        <is>
          <t>IN</t>
        </is>
      </c>
      <c r="E9" s="31">
        <f>IF($C9="","",IF($I9="","⚠️ Unknown code",_xlfn.XLOOKUP($I9,'Item Master'!$A$4:$A$53,'Item Master'!$C$4:$C$53,"")))</f>
        <v/>
      </c>
      <c r="F9" s="49" t="n">
        <v>150</v>
      </c>
      <c r="G9" s="36">
        <f>IF($I9="","",_xlfn.XLOOKUP($I9,'Item Master'!$A$4:$A$53,'Item Master'!$E$4:$E$53,0))</f>
        <v/>
      </c>
      <c r="H9" s="50">
        <f>IF($I9="","",$F9*$G9)</f>
        <v/>
      </c>
      <c r="I9" s="51">
        <f>IF($C9="","",IF(COUNTIF('Item Master'!$A$4:$A$53,$C9)&gt;0,$C9,_xlfn.XLOOKUP($C9,'Item Master'!$B$4:$B$53,'Item Master'!$A$4:$A$53,"")))</f>
        <v/>
      </c>
    </row>
    <row r="10" ht="32" customHeight="1">
      <c r="A10" s="47" t="n">
        <v>46235</v>
      </c>
      <c r="B10" s="46" t="inlineStr">
        <is>
          <t>PO-2002</t>
        </is>
      </c>
      <c r="C10" s="46" t="inlineStr">
        <is>
          <t>TOT-007</t>
        </is>
      </c>
      <c r="D10" s="46" t="inlineStr">
        <is>
          <t>IN</t>
        </is>
      </c>
      <c r="E10" s="31">
        <f>IF($C10="","",IF($I10="","⚠️ Unknown code",_xlfn.XLOOKUP($I10,'Item Master'!$A$4:$A$53,'Item Master'!$C$4:$C$53,"")))</f>
        <v/>
      </c>
      <c r="F10" s="49" t="n">
        <v>120</v>
      </c>
      <c r="G10" s="36">
        <f>IF($I10="","",_xlfn.XLOOKUP($I10,'Item Master'!$A$4:$A$53,'Item Master'!$E$4:$E$53,0))</f>
        <v/>
      </c>
      <c r="H10" s="50">
        <f>IF($I10="","",$F10*$G10)</f>
        <v/>
      </c>
      <c r="I10" s="51">
        <f>IF($C10="","",IF(COUNTIF('Item Master'!$A$4:$A$53,$C10)&gt;0,$C10,_xlfn.XLOOKUP($C10,'Item Master'!$B$4:$B$53,'Item Master'!$A$4:$A$53,"")))</f>
        <v/>
      </c>
    </row>
    <row r="11" ht="32" customHeight="1">
      <c r="A11" s="47" t="n">
        <v>46236</v>
      </c>
      <c r="B11" s="46" t="inlineStr">
        <is>
          <t>PO-2002</t>
        </is>
      </c>
      <c r="C11" s="46" t="inlineStr">
        <is>
          <t>JRN-002</t>
        </is>
      </c>
      <c r="D11" s="46" t="inlineStr">
        <is>
          <t>IN</t>
        </is>
      </c>
      <c r="E11" s="31">
        <f>IF($C11="","",IF($I11="","⚠️ Unknown code",_xlfn.XLOOKUP($I11,'Item Master'!$A$4:$A$53,'Item Master'!$C$4:$C$53,"")))</f>
        <v/>
      </c>
      <c r="F11" s="49" t="n">
        <v>80</v>
      </c>
      <c r="G11" s="36">
        <f>IF($I11="","",_xlfn.XLOOKUP($I11,'Item Master'!$A$4:$A$53,'Item Master'!$E$4:$E$53,0))</f>
        <v/>
      </c>
      <c r="H11" s="50">
        <f>IF($I11="","",$F11*$G11)</f>
        <v/>
      </c>
      <c r="I11" s="51">
        <f>IF($C11="","",IF(COUNTIF('Item Master'!$A$4:$A$53,$C11)&gt;0,$C11,_xlfn.XLOOKUP($C11,'Item Master'!$B$4:$B$53,'Item Master'!$A$4:$A$53,"")))</f>
        <v/>
      </c>
    </row>
    <row r="12" ht="32" customHeight="1">
      <c r="A12" s="47" t="n">
        <v>46236</v>
      </c>
      <c r="B12" s="46" t="inlineStr">
        <is>
          <t>PO-2003</t>
        </is>
      </c>
      <c r="C12" s="46" t="inlineStr">
        <is>
          <t>SKN-021</t>
        </is>
      </c>
      <c r="D12" s="46" t="inlineStr">
        <is>
          <t>IN</t>
        </is>
      </c>
      <c r="E12" s="31">
        <f>IF($C12="","",IF($I12="","⚠️ Unknown code",_xlfn.XLOOKUP($I12,'Item Master'!$A$4:$A$53,'Item Master'!$C$4:$C$53,"")))</f>
        <v/>
      </c>
      <c r="F12" s="49" t="n">
        <v>60</v>
      </c>
      <c r="G12" s="36">
        <f>IF($I12="","",_xlfn.XLOOKUP($I12,'Item Master'!$A$4:$A$53,'Item Master'!$E$4:$E$53,0))</f>
        <v/>
      </c>
      <c r="H12" s="50">
        <f>IF($I12="","",$F12*$G12)</f>
        <v/>
      </c>
      <c r="I12" s="51">
        <f>IF($C12="","",IF(COUNTIF('Item Master'!$A$4:$A$53,$C12)&gt;0,$C12,_xlfn.XLOOKUP($C12,'Item Master'!$B$4:$B$53,'Item Master'!$A$4:$A$53,"")))</f>
        <v/>
      </c>
    </row>
    <row r="13" ht="32" customHeight="1">
      <c r="A13" s="47" t="n">
        <v>46236</v>
      </c>
      <c r="B13" s="46" t="inlineStr">
        <is>
          <t>PO-2003</t>
        </is>
      </c>
      <c r="C13" s="46" t="inlineStr">
        <is>
          <t>TEA-009</t>
        </is>
      </c>
      <c r="D13" s="46" t="inlineStr">
        <is>
          <t>IN</t>
        </is>
      </c>
      <c r="E13" s="31">
        <f>IF($C13="","",IF($I13="","⚠️ Unknown code",_xlfn.XLOOKUP($I13,'Item Master'!$A$4:$A$53,'Item Master'!$C$4:$C$53,"")))</f>
        <v/>
      </c>
      <c r="F13" s="49" t="n">
        <v>70</v>
      </c>
      <c r="G13" s="36">
        <f>IF($I13="","",_xlfn.XLOOKUP($I13,'Item Master'!$A$4:$A$53,'Item Master'!$E$4:$E$53,0))</f>
        <v/>
      </c>
      <c r="H13" s="50">
        <f>IF($I13="","",$F13*$G13)</f>
        <v/>
      </c>
      <c r="I13" s="51">
        <f>IF($C13="","",IF(COUNTIF('Item Master'!$A$4:$A$53,$C13)&gt;0,$C13,_xlfn.XLOOKUP($C13,'Item Master'!$B$4:$B$53,'Item Master'!$A$4:$A$53,"")))</f>
        <v/>
      </c>
    </row>
    <row r="14" ht="32" customHeight="1">
      <c r="A14" s="47" t="n">
        <v>46245</v>
      </c>
      <c r="B14" s="46" t="inlineStr">
        <is>
          <t>ADJ-3001</t>
        </is>
      </c>
      <c r="C14" s="46" t="inlineStr">
        <is>
          <t>TEA-009</t>
        </is>
      </c>
      <c r="D14" s="46" t="inlineStr">
        <is>
          <t>SHRINKAGE</t>
        </is>
      </c>
      <c r="E14" s="31">
        <f>IF($C14="","",IF($I14="","⚠️ Unknown code",_xlfn.XLOOKUP($I14,'Item Master'!$A$4:$A$53,'Item Master'!$C$4:$C$53,"")))</f>
        <v/>
      </c>
      <c r="F14" s="49" t="n">
        <v>3</v>
      </c>
      <c r="G14" s="36">
        <f>IF($I14="","",_xlfn.XLOOKUP($I14,'Item Master'!$A$4:$A$53,'Item Master'!$E$4:$E$53,0))</f>
        <v/>
      </c>
      <c r="H14" s="50">
        <f>IF($I14="","",$F14*$G14)</f>
        <v/>
      </c>
      <c r="I14" s="51">
        <f>IF($C14="","",IF(COUNTIF('Item Master'!$A$4:$A$53,$C14)&gt;0,$C14,_xlfn.XLOOKUP($C14,'Item Master'!$B$4:$B$53,'Item Master'!$A$4:$A$53,"")))</f>
        <v/>
      </c>
    </row>
    <row r="15" ht="32" customHeight="1">
      <c r="A15" s="47" t="n"/>
      <c r="B15" s="46" t="n"/>
      <c r="C15" s="46" t="n"/>
      <c r="D15" s="46" t="n"/>
      <c r="E15" s="31">
        <f>IF($C15="","",IF($I15="","⚠️ Unknown code",_xlfn.XLOOKUP($I15,'Item Master'!$A$4:$A$53,'Item Master'!$C$4:$C$53,"")))</f>
        <v/>
      </c>
      <c r="F15" s="49" t="n"/>
      <c r="G15" s="36">
        <f>IF($I15="","",_xlfn.XLOOKUP($I15,'Item Master'!$A$4:$A$53,'Item Master'!$E$4:$E$53,0))</f>
        <v/>
      </c>
      <c r="H15" s="50">
        <f>IF($I15="","",$F15*$G15)</f>
        <v/>
      </c>
      <c r="I15" s="51">
        <f>IF($C15="","",IF(COUNTIF('Item Master'!$A$4:$A$53,$C15)&gt;0,$C15,_xlfn.XLOOKUP($C15,'Item Master'!$B$4:$B$53,'Item Master'!$A$4:$A$53,"")))</f>
        <v/>
      </c>
    </row>
    <row r="16" ht="32" customHeight="1">
      <c r="A16" s="47" t="n"/>
      <c r="B16" s="46" t="n"/>
      <c r="C16" s="46" t="n"/>
      <c r="D16" s="46" t="n"/>
      <c r="E16" s="31">
        <f>IF($C16="","",IF($I16="","⚠️ Unknown code",_xlfn.XLOOKUP($I16,'Item Master'!$A$4:$A$53,'Item Master'!$C$4:$C$53,"")))</f>
        <v/>
      </c>
      <c r="F16" s="49" t="n"/>
      <c r="G16" s="36">
        <f>IF($I16="","",_xlfn.XLOOKUP($I16,'Item Master'!$A$4:$A$53,'Item Master'!$E$4:$E$53,0))</f>
        <v/>
      </c>
      <c r="H16" s="50">
        <f>IF($I16="","",$F16*$G16)</f>
        <v/>
      </c>
      <c r="I16" s="51">
        <f>IF($C16="","",IF(COUNTIF('Item Master'!$A$4:$A$53,$C16)&gt;0,$C16,_xlfn.XLOOKUP($C16,'Item Master'!$B$4:$B$53,'Item Master'!$A$4:$A$53,"")))</f>
        <v/>
      </c>
    </row>
    <row r="17" ht="32" customHeight="1">
      <c r="A17" s="47" t="n"/>
      <c r="B17" s="46" t="n"/>
      <c r="C17" s="46" t="n"/>
      <c r="D17" s="46" t="n"/>
      <c r="E17" s="31">
        <f>IF($C17="","",IF($I17="","⚠️ Unknown code",_xlfn.XLOOKUP($I17,'Item Master'!$A$4:$A$53,'Item Master'!$C$4:$C$53,"")))</f>
        <v/>
      </c>
      <c r="F17" s="49" t="n"/>
      <c r="G17" s="36">
        <f>IF($I17="","",_xlfn.XLOOKUP($I17,'Item Master'!$A$4:$A$53,'Item Master'!$E$4:$E$53,0))</f>
        <v/>
      </c>
      <c r="H17" s="50">
        <f>IF($I17="","",$F17*$G17)</f>
        <v/>
      </c>
      <c r="I17" s="51">
        <f>IF($C17="","",IF(COUNTIF('Item Master'!$A$4:$A$53,$C17)&gt;0,$C17,_xlfn.XLOOKUP($C17,'Item Master'!$B$4:$B$53,'Item Master'!$A$4:$A$53,"")))</f>
        <v/>
      </c>
    </row>
    <row r="18" ht="32" customHeight="1">
      <c r="A18" s="47" t="n"/>
      <c r="B18" s="46" t="n"/>
      <c r="C18" s="46" t="n"/>
      <c r="D18" s="46" t="n"/>
      <c r="E18" s="31">
        <f>IF($C18="","",IF($I18="","⚠️ Unknown code",_xlfn.XLOOKUP($I18,'Item Master'!$A$4:$A$53,'Item Master'!$C$4:$C$53,"")))</f>
        <v/>
      </c>
      <c r="F18" s="49" t="n"/>
      <c r="G18" s="36">
        <f>IF($I18="","",_xlfn.XLOOKUP($I18,'Item Master'!$A$4:$A$53,'Item Master'!$E$4:$E$53,0))</f>
        <v/>
      </c>
      <c r="H18" s="50">
        <f>IF($I18="","",$F18*$G18)</f>
        <v/>
      </c>
      <c r="I18" s="51">
        <f>IF($C18="","",IF(COUNTIF('Item Master'!$A$4:$A$53,$C18)&gt;0,$C18,_xlfn.XLOOKUP($C18,'Item Master'!$B$4:$B$53,'Item Master'!$A$4:$A$53,"")))</f>
        <v/>
      </c>
    </row>
    <row r="19" ht="32" customHeight="1">
      <c r="A19" s="47" t="n"/>
      <c r="B19" s="46" t="n"/>
      <c r="C19" s="46" t="n"/>
      <c r="D19" s="46" t="n"/>
      <c r="E19" s="31">
        <f>IF($C19="","",IF($I19="","⚠️ Unknown code",_xlfn.XLOOKUP($I19,'Item Master'!$A$4:$A$53,'Item Master'!$C$4:$C$53,"")))</f>
        <v/>
      </c>
      <c r="F19" s="49" t="n"/>
      <c r="G19" s="36">
        <f>IF($I19="","",_xlfn.XLOOKUP($I19,'Item Master'!$A$4:$A$53,'Item Master'!$E$4:$E$53,0))</f>
        <v/>
      </c>
      <c r="H19" s="50">
        <f>IF($I19="","",$F19*$G19)</f>
        <v/>
      </c>
      <c r="I19" s="51">
        <f>IF($C19="","",IF(COUNTIF('Item Master'!$A$4:$A$53,$C19)&gt;0,$C19,_xlfn.XLOOKUP($C19,'Item Master'!$B$4:$B$53,'Item Master'!$A$4:$A$53,"")))</f>
        <v/>
      </c>
    </row>
    <row r="20" ht="32" customHeight="1">
      <c r="A20" s="47" t="n"/>
      <c r="B20" s="46" t="n"/>
      <c r="C20" s="46" t="n"/>
      <c r="D20" s="46" t="n"/>
      <c r="E20" s="31">
        <f>IF($C20="","",IF($I20="","⚠️ Unknown code",_xlfn.XLOOKUP($I20,'Item Master'!$A$4:$A$53,'Item Master'!$C$4:$C$53,"")))</f>
        <v/>
      </c>
      <c r="F20" s="49" t="n"/>
      <c r="G20" s="36">
        <f>IF($I20="","",_xlfn.XLOOKUP($I20,'Item Master'!$A$4:$A$53,'Item Master'!$E$4:$E$53,0))</f>
        <v/>
      </c>
      <c r="H20" s="50">
        <f>IF($I20="","",$F20*$G20)</f>
        <v/>
      </c>
      <c r="I20" s="51">
        <f>IF($C20="","",IF(COUNTIF('Item Master'!$A$4:$A$53,$C20)&gt;0,$C20,_xlfn.XLOOKUP($C20,'Item Master'!$B$4:$B$53,'Item Master'!$A$4:$A$53,"")))</f>
        <v/>
      </c>
    </row>
    <row r="21" ht="32" customHeight="1">
      <c r="A21" s="47" t="n"/>
      <c r="B21" s="46" t="n"/>
      <c r="C21" s="46" t="n"/>
      <c r="D21" s="46" t="n"/>
      <c r="E21" s="31">
        <f>IF($C21="","",IF($I21="","⚠️ Unknown code",_xlfn.XLOOKUP($I21,'Item Master'!$A$4:$A$53,'Item Master'!$C$4:$C$53,"")))</f>
        <v/>
      </c>
      <c r="F21" s="49" t="n"/>
      <c r="G21" s="36">
        <f>IF($I21="","",_xlfn.XLOOKUP($I21,'Item Master'!$A$4:$A$53,'Item Master'!$E$4:$E$53,0))</f>
        <v/>
      </c>
      <c r="H21" s="50">
        <f>IF($I21="","",$F21*$G21)</f>
        <v/>
      </c>
      <c r="I21" s="51">
        <f>IF($C21="","",IF(COUNTIF('Item Master'!$A$4:$A$53,$C21)&gt;0,$C21,_xlfn.XLOOKUP($C21,'Item Master'!$B$4:$B$53,'Item Master'!$A$4:$A$53,"")))</f>
        <v/>
      </c>
    </row>
    <row r="22" ht="32" customHeight="1">
      <c r="A22" s="47" t="n"/>
      <c r="B22" s="46" t="n"/>
      <c r="C22" s="46" t="n"/>
      <c r="D22" s="46" t="n"/>
      <c r="E22" s="31">
        <f>IF($C22="","",IF($I22="","⚠️ Unknown code",_xlfn.XLOOKUP($I22,'Item Master'!$A$4:$A$53,'Item Master'!$C$4:$C$53,"")))</f>
        <v/>
      </c>
      <c r="F22" s="49" t="n"/>
      <c r="G22" s="36">
        <f>IF($I22="","",_xlfn.XLOOKUP($I22,'Item Master'!$A$4:$A$53,'Item Master'!$E$4:$E$53,0))</f>
        <v/>
      </c>
      <c r="H22" s="50">
        <f>IF($I22="","",$F22*$G22)</f>
        <v/>
      </c>
      <c r="I22" s="51">
        <f>IF($C22="","",IF(COUNTIF('Item Master'!$A$4:$A$53,$C22)&gt;0,$C22,_xlfn.XLOOKUP($C22,'Item Master'!$B$4:$B$53,'Item Master'!$A$4:$A$53,"")))</f>
        <v/>
      </c>
    </row>
    <row r="23" ht="32" customHeight="1">
      <c r="A23" s="47" t="n"/>
      <c r="B23" s="46" t="n"/>
      <c r="C23" s="46" t="n"/>
      <c r="D23" s="46" t="n"/>
      <c r="E23" s="31">
        <f>IF($C23="","",IF($I23="","⚠️ Unknown code",_xlfn.XLOOKUP($I23,'Item Master'!$A$4:$A$53,'Item Master'!$C$4:$C$53,"")))</f>
        <v/>
      </c>
      <c r="F23" s="49" t="n"/>
      <c r="G23" s="36">
        <f>IF($I23="","",_xlfn.XLOOKUP($I23,'Item Master'!$A$4:$A$53,'Item Master'!$E$4:$E$53,0))</f>
        <v/>
      </c>
      <c r="H23" s="50">
        <f>IF($I23="","",$F23*$G23)</f>
        <v/>
      </c>
      <c r="I23" s="51">
        <f>IF($C23="","",IF(COUNTIF('Item Master'!$A$4:$A$53,$C23)&gt;0,$C23,_xlfn.XLOOKUP($C23,'Item Master'!$B$4:$B$53,'Item Master'!$A$4:$A$53,"")))</f>
        <v/>
      </c>
    </row>
    <row r="24" ht="32" customHeight="1">
      <c r="A24" s="47" t="n"/>
      <c r="B24" s="46" t="n"/>
      <c r="C24" s="46" t="n"/>
      <c r="D24" s="46" t="n"/>
      <c r="E24" s="31">
        <f>IF($C24="","",IF($I24="","⚠️ Unknown code",_xlfn.XLOOKUP($I24,'Item Master'!$A$4:$A$53,'Item Master'!$C$4:$C$53,"")))</f>
        <v/>
      </c>
      <c r="F24" s="49" t="n"/>
      <c r="G24" s="36">
        <f>IF($I24="","",_xlfn.XLOOKUP($I24,'Item Master'!$A$4:$A$53,'Item Master'!$E$4:$E$53,0))</f>
        <v/>
      </c>
      <c r="H24" s="50">
        <f>IF($I24="","",$F24*$G24)</f>
        <v/>
      </c>
      <c r="I24" s="51">
        <f>IF($C24="","",IF(COUNTIF('Item Master'!$A$4:$A$53,$C24)&gt;0,$C24,_xlfn.XLOOKUP($C24,'Item Master'!$B$4:$B$53,'Item Master'!$A$4:$A$53,"")))</f>
        <v/>
      </c>
    </row>
    <row r="25" ht="32" customHeight="1">
      <c r="A25" s="47" t="n"/>
      <c r="B25" s="46" t="n"/>
      <c r="C25" s="46" t="n"/>
      <c r="D25" s="46" t="n"/>
      <c r="E25" s="31">
        <f>IF($C25="","",IF($I25="","⚠️ Unknown code",_xlfn.XLOOKUP($I25,'Item Master'!$A$4:$A$53,'Item Master'!$C$4:$C$53,"")))</f>
        <v/>
      </c>
      <c r="F25" s="49" t="n"/>
      <c r="G25" s="36">
        <f>IF($I25="","",_xlfn.XLOOKUP($I25,'Item Master'!$A$4:$A$53,'Item Master'!$E$4:$E$53,0))</f>
        <v/>
      </c>
      <c r="H25" s="50">
        <f>IF($I25="","",$F25*$G25)</f>
        <v/>
      </c>
      <c r="I25" s="51">
        <f>IF($C25="","",IF(COUNTIF('Item Master'!$A$4:$A$53,$C25)&gt;0,$C25,_xlfn.XLOOKUP($C25,'Item Master'!$B$4:$B$53,'Item Master'!$A$4:$A$53,"")))</f>
        <v/>
      </c>
    </row>
    <row r="26" ht="32" customHeight="1">
      <c r="A26" s="47" t="n"/>
      <c r="B26" s="46" t="n"/>
      <c r="C26" s="46" t="n"/>
      <c r="D26" s="46" t="n"/>
      <c r="E26" s="31">
        <f>IF($C26="","",IF($I26="","⚠️ Unknown code",_xlfn.XLOOKUP($I26,'Item Master'!$A$4:$A$53,'Item Master'!$C$4:$C$53,"")))</f>
        <v/>
      </c>
      <c r="F26" s="49" t="n"/>
      <c r="G26" s="36">
        <f>IF($I26="","",_xlfn.XLOOKUP($I26,'Item Master'!$A$4:$A$53,'Item Master'!$E$4:$E$53,0))</f>
        <v/>
      </c>
      <c r="H26" s="50">
        <f>IF($I26="","",$F26*$G26)</f>
        <v/>
      </c>
      <c r="I26" s="51">
        <f>IF($C26="","",IF(COUNTIF('Item Master'!$A$4:$A$53,$C26)&gt;0,$C26,_xlfn.XLOOKUP($C26,'Item Master'!$B$4:$B$53,'Item Master'!$A$4:$A$53,"")))</f>
        <v/>
      </c>
    </row>
    <row r="27" ht="32" customHeight="1">
      <c r="A27" s="47" t="n"/>
      <c r="B27" s="46" t="n"/>
      <c r="C27" s="46" t="n"/>
      <c r="D27" s="46" t="n"/>
      <c r="E27" s="31">
        <f>IF($C27="","",IF($I27="","⚠️ Unknown code",_xlfn.XLOOKUP($I27,'Item Master'!$A$4:$A$53,'Item Master'!$C$4:$C$53,"")))</f>
        <v/>
      </c>
      <c r="F27" s="49" t="n"/>
      <c r="G27" s="36">
        <f>IF($I27="","",_xlfn.XLOOKUP($I27,'Item Master'!$A$4:$A$53,'Item Master'!$E$4:$E$53,0))</f>
        <v/>
      </c>
      <c r="H27" s="50">
        <f>IF($I27="","",$F27*$G27)</f>
        <v/>
      </c>
      <c r="I27" s="51">
        <f>IF($C27="","",IF(COUNTIF('Item Master'!$A$4:$A$53,$C27)&gt;0,$C27,_xlfn.XLOOKUP($C27,'Item Master'!$B$4:$B$53,'Item Master'!$A$4:$A$53,"")))</f>
        <v/>
      </c>
    </row>
    <row r="28" ht="32" customHeight="1">
      <c r="A28" s="47" t="n"/>
      <c r="B28" s="46" t="n"/>
      <c r="C28" s="46" t="n"/>
      <c r="D28" s="46" t="n"/>
      <c r="E28" s="31">
        <f>IF($C28="","",IF($I28="","⚠️ Unknown code",_xlfn.XLOOKUP($I28,'Item Master'!$A$4:$A$53,'Item Master'!$C$4:$C$53,"")))</f>
        <v/>
      </c>
      <c r="F28" s="49" t="n"/>
      <c r="G28" s="36">
        <f>IF($I28="","",_xlfn.XLOOKUP($I28,'Item Master'!$A$4:$A$53,'Item Master'!$E$4:$E$53,0))</f>
        <v/>
      </c>
      <c r="H28" s="50">
        <f>IF($I28="","",$F28*$G28)</f>
        <v/>
      </c>
      <c r="I28" s="51">
        <f>IF($C28="","",IF(COUNTIF('Item Master'!$A$4:$A$53,$C28)&gt;0,$C28,_xlfn.XLOOKUP($C28,'Item Master'!$B$4:$B$53,'Item Master'!$A$4:$A$53,"")))</f>
        <v/>
      </c>
    </row>
    <row r="29" ht="32" customHeight="1">
      <c r="A29" s="47" t="n"/>
      <c r="B29" s="46" t="n"/>
      <c r="C29" s="46" t="n"/>
      <c r="D29" s="46" t="n"/>
      <c r="E29" s="31">
        <f>IF($C29="","",IF($I29="","⚠️ Unknown code",_xlfn.XLOOKUP($I29,'Item Master'!$A$4:$A$53,'Item Master'!$C$4:$C$53,"")))</f>
        <v/>
      </c>
      <c r="F29" s="49" t="n"/>
      <c r="G29" s="36">
        <f>IF($I29="","",_xlfn.XLOOKUP($I29,'Item Master'!$A$4:$A$53,'Item Master'!$E$4:$E$53,0))</f>
        <v/>
      </c>
      <c r="H29" s="50">
        <f>IF($I29="","",$F29*$G29)</f>
        <v/>
      </c>
      <c r="I29" s="51">
        <f>IF($C29="","",IF(COUNTIF('Item Master'!$A$4:$A$53,$C29)&gt;0,$C29,_xlfn.XLOOKUP($C29,'Item Master'!$B$4:$B$53,'Item Master'!$A$4:$A$53,"")))</f>
        <v/>
      </c>
    </row>
    <row r="30" ht="32" customHeight="1">
      <c r="A30" s="47" t="n"/>
      <c r="B30" s="46" t="n"/>
      <c r="C30" s="46" t="n"/>
      <c r="D30" s="46" t="n"/>
      <c r="E30" s="31">
        <f>IF($C30="","",IF($I30="","⚠️ Unknown code",_xlfn.XLOOKUP($I30,'Item Master'!$A$4:$A$53,'Item Master'!$C$4:$C$53,"")))</f>
        <v/>
      </c>
      <c r="F30" s="49" t="n"/>
      <c r="G30" s="36">
        <f>IF($I30="","",_xlfn.XLOOKUP($I30,'Item Master'!$A$4:$A$53,'Item Master'!$E$4:$E$53,0))</f>
        <v/>
      </c>
      <c r="H30" s="50">
        <f>IF($I30="","",$F30*$G30)</f>
        <v/>
      </c>
      <c r="I30" s="51">
        <f>IF($C30="","",IF(COUNTIF('Item Master'!$A$4:$A$53,$C30)&gt;0,$C30,_xlfn.XLOOKUP($C30,'Item Master'!$B$4:$B$53,'Item Master'!$A$4:$A$53,"")))</f>
        <v/>
      </c>
    </row>
    <row r="31" ht="32" customHeight="1">
      <c r="A31" s="47" t="n"/>
      <c r="B31" s="46" t="n"/>
      <c r="C31" s="46" t="n"/>
      <c r="D31" s="46" t="n"/>
      <c r="E31" s="31">
        <f>IF($C31="","",IF($I31="","⚠️ Unknown code",_xlfn.XLOOKUP($I31,'Item Master'!$A$4:$A$53,'Item Master'!$C$4:$C$53,"")))</f>
        <v/>
      </c>
      <c r="F31" s="49" t="n"/>
      <c r="G31" s="36">
        <f>IF($I31="","",_xlfn.XLOOKUP($I31,'Item Master'!$A$4:$A$53,'Item Master'!$E$4:$E$53,0))</f>
        <v/>
      </c>
      <c r="H31" s="50">
        <f>IF($I31="","",$F31*$G31)</f>
        <v/>
      </c>
      <c r="I31" s="51">
        <f>IF($C31="","",IF(COUNTIF('Item Master'!$A$4:$A$53,$C31)&gt;0,$C31,_xlfn.XLOOKUP($C31,'Item Master'!$B$4:$B$53,'Item Master'!$A$4:$A$53,"")))</f>
        <v/>
      </c>
    </row>
    <row r="32" ht="32" customHeight="1">
      <c r="A32" s="47" t="n"/>
      <c r="B32" s="46" t="n"/>
      <c r="C32" s="46" t="n"/>
      <c r="D32" s="46" t="n"/>
      <c r="E32" s="31">
        <f>IF($C32="","",IF($I32="","⚠️ Unknown code",_xlfn.XLOOKUP($I32,'Item Master'!$A$4:$A$53,'Item Master'!$C$4:$C$53,"")))</f>
        <v/>
      </c>
      <c r="F32" s="49" t="n"/>
      <c r="G32" s="36">
        <f>IF($I32="","",_xlfn.XLOOKUP($I32,'Item Master'!$A$4:$A$53,'Item Master'!$E$4:$E$53,0))</f>
        <v/>
      </c>
      <c r="H32" s="50">
        <f>IF($I32="","",$F32*$G32)</f>
        <v/>
      </c>
      <c r="I32" s="51">
        <f>IF($C32="","",IF(COUNTIF('Item Master'!$A$4:$A$53,$C32)&gt;0,$C32,_xlfn.XLOOKUP($C32,'Item Master'!$B$4:$B$53,'Item Master'!$A$4:$A$53,"")))</f>
        <v/>
      </c>
    </row>
    <row r="33" ht="32" customHeight="1">
      <c r="A33" s="47" t="n"/>
      <c r="B33" s="46" t="n"/>
      <c r="C33" s="46" t="n"/>
      <c r="D33" s="46" t="n"/>
      <c r="E33" s="31">
        <f>IF($C33="","",IF($I33="","⚠️ Unknown code",_xlfn.XLOOKUP($I33,'Item Master'!$A$4:$A$53,'Item Master'!$C$4:$C$53,"")))</f>
        <v/>
      </c>
      <c r="F33" s="49" t="n"/>
      <c r="G33" s="36">
        <f>IF($I33="","",_xlfn.XLOOKUP($I33,'Item Master'!$A$4:$A$53,'Item Master'!$E$4:$E$53,0))</f>
        <v/>
      </c>
      <c r="H33" s="50">
        <f>IF($I33="","",$F33*$G33)</f>
        <v/>
      </c>
      <c r="I33" s="51">
        <f>IF($C33="","",IF(COUNTIF('Item Master'!$A$4:$A$53,$C33)&gt;0,$C33,_xlfn.XLOOKUP($C33,'Item Master'!$B$4:$B$53,'Item Master'!$A$4:$A$53,"")))</f>
        <v/>
      </c>
    </row>
    <row r="34" ht="32" customHeight="1">
      <c r="A34" s="47" t="n"/>
      <c r="B34" s="46" t="n"/>
      <c r="C34" s="46" t="n"/>
      <c r="D34" s="46" t="n"/>
      <c r="E34" s="31">
        <f>IF($C34="","",IF($I34="","⚠️ Unknown code",_xlfn.XLOOKUP($I34,'Item Master'!$A$4:$A$53,'Item Master'!$C$4:$C$53,"")))</f>
        <v/>
      </c>
      <c r="F34" s="49" t="n"/>
      <c r="G34" s="36">
        <f>IF($I34="","",_xlfn.XLOOKUP($I34,'Item Master'!$A$4:$A$53,'Item Master'!$E$4:$E$53,0))</f>
        <v/>
      </c>
      <c r="H34" s="50">
        <f>IF($I34="","",$F34*$G34)</f>
        <v/>
      </c>
      <c r="I34" s="51">
        <f>IF($C34="","",IF(COUNTIF('Item Master'!$A$4:$A$53,$C34)&gt;0,$C34,_xlfn.XLOOKUP($C34,'Item Master'!$B$4:$B$53,'Item Master'!$A$4:$A$53,"")))</f>
        <v/>
      </c>
    </row>
    <row r="35" ht="32" customHeight="1">
      <c r="A35" s="47" t="n"/>
      <c r="B35" s="46" t="n"/>
      <c r="C35" s="46" t="n"/>
      <c r="D35" s="46" t="n"/>
      <c r="E35" s="31">
        <f>IF($C35="","",IF($I35="","⚠️ Unknown code",_xlfn.XLOOKUP($I35,'Item Master'!$A$4:$A$53,'Item Master'!$C$4:$C$53,"")))</f>
        <v/>
      </c>
      <c r="F35" s="49" t="n"/>
      <c r="G35" s="36">
        <f>IF($I35="","",_xlfn.XLOOKUP($I35,'Item Master'!$A$4:$A$53,'Item Master'!$E$4:$E$53,0))</f>
        <v/>
      </c>
      <c r="H35" s="50">
        <f>IF($I35="","",$F35*$G35)</f>
        <v/>
      </c>
      <c r="I35" s="51">
        <f>IF($C35="","",IF(COUNTIF('Item Master'!$A$4:$A$53,$C35)&gt;0,$C35,_xlfn.XLOOKUP($C35,'Item Master'!$B$4:$B$53,'Item Master'!$A$4:$A$53,"")))</f>
        <v/>
      </c>
    </row>
    <row r="36" ht="32" customHeight="1">
      <c r="A36" s="47" t="n"/>
      <c r="B36" s="46" t="n"/>
      <c r="C36" s="46" t="n"/>
      <c r="D36" s="46" t="n"/>
      <c r="E36" s="31">
        <f>IF($C36="","",IF($I36="","⚠️ Unknown code",_xlfn.XLOOKUP($I36,'Item Master'!$A$4:$A$53,'Item Master'!$C$4:$C$53,"")))</f>
        <v/>
      </c>
      <c r="F36" s="49" t="n"/>
      <c r="G36" s="36">
        <f>IF($I36="","",_xlfn.XLOOKUP($I36,'Item Master'!$A$4:$A$53,'Item Master'!$E$4:$E$53,0))</f>
        <v/>
      </c>
      <c r="H36" s="50">
        <f>IF($I36="","",$F36*$G36)</f>
        <v/>
      </c>
      <c r="I36" s="51">
        <f>IF($C36="","",IF(COUNTIF('Item Master'!$A$4:$A$53,$C36)&gt;0,$C36,_xlfn.XLOOKUP($C36,'Item Master'!$B$4:$B$53,'Item Master'!$A$4:$A$53,"")))</f>
        <v/>
      </c>
    </row>
    <row r="37" ht="32" customHeight="1">
      <c r="A37" s="47" t="n"/>
      <c r="B37" s="46" t="n"/>
      <c r="C37" s="46" t="n"/>
      <c r="D37" s="46" t="n"/>
      <c r="E37" s="31">
        <f>IF($C37="","",IF($I37="","⚠️ Unknown code",_xlfn.XLOOKUP($I37,'Item Master'!$A$4:$A$53,'Item Master'!$C$4:$C$53,"")))</f>
        <v/>
      </c>
      <c r="F37" s="49" t="n"/>
      <c r="G37" s="36">
        <f>IF($I37="","",_xlfn.XLOOKUP($I37,'Item Master'!$A$4:$A$53,'Item Master'!$E$4:$E$53,0))</f>
        <v/>
      </c>
      <c r="H37" s="50">
        <f>IF($I37="","",$F37*$G37)</f>
        <v/>
      </c>
      <c r="I37" s="51">
        <f>IF($C37="","",IF(COUNTIF('Item Master'!$A$4:$A$53,$C37)&gt;0,$C37,_xlfn.XLOOKUP($C37,'Item Master'!$B$4:$B$53,'Item Master'!$A$4:$A$53,"")))</f>
        <v/>
      </c>
    </row>
    <row r="38" ht="32" customHeight="1">
      <c r="A38" s="47" t="n"/>
      <c r="B38" s="46" t="n"/>
      <c r="C38" s="46" t="n"/>
      <c r="D38" s="46" t="n"/>
      <c r="E38" s="31">
        <f>IF($C38="","",IF($I38="","⚠️ Unknown code",_xlfn.XLOOKUP($I38,'Item Master'!$A$4:$A$53,'Item Master'!$C$4:$C$53,"")))</f>
        <v/>
      </c>
      <c r="F38" s="49" t="n"/>
      <c r="G38" s="36">
        <f>IF($I38="","",_xlfn.XLOOKUP($I38,'Item Master'!$A$4:$A$53,'Item Master'!$E$4:$E$53,0))</f>
        <v/>
      </c>
      <c r="H38" s="50">
        <f>IF($I38="","",$F38*$G38)</f>
        <v/>
      </c>
      <c r="I38" s="51">
        <f>IF($C38="","",IF(COUNTIF('Item Master'!$A$4:$A$53,$C38)&gt;0,$C38,_xlfn.XLOOKUP($C38,'Item Master'!$B$4:$B$53,'Item Master'!$A$4:$A$53,"")))</f>
        <v/>
      </c>
    </row>
    <row r="39" ht="32" customHeight="1">
      <c r="A39" s="47" t="n"/>
      <c r="B39" s="46" t="n"/>
      <c r="C39" s="46" t="n"/>
      <c r="D39" s="46" t="n"/>
      <c r="E39" s="31">
        <f>IF($C39="","",IF($I39="","⚠️ Unknown code",_xlfn.XLOOKUP($I39,'Item Master'!$A$4:$A$53,'Item Master'!$C$4:$C$53,"")))</f>
        <v/>
      </c>
      <c r="F39" s="49" t="n"/>
      <c r="G39" s="36">
        <f>IF($I39="","",_xlfn.XLOOKUP($I39,'Item Master'!$A$4:$A$53,'Item Master'!$E$4:$E$53,0))</f>
        <v/>
      </c>
      <c r="H39" s="50">
        <f>IF($I39="","",$F39*$G39)</f>
        <v/>
      </c>
      <c r="I39" s="51">
        <f>IF($C39="","",IF(COUNTIF('Item Master'!$A$4:$A$53,$C39)&gt;0,$C39,_xlfn.XLOOKUP($C39,'Item Master'!$B$4:$B$53,'Item Master'!$A$4:$A$53,"")))</f>
        <v/>
      </c>
    </row>
    <row r="40" ht="32" customHeight="1">
      <c r="A40" s="47" t="n"/>
      <c r="B40" s="46" t="n"/>
      <c r="C40" s="46" t="n"/>
      <c r="D40" s="46" t="n"/>
      <c r="E40" s="31">
        <f>IF($C40="","",IF($I40="","⚠️ Unknown code",_xlfn.XLOOKUP($I40,'Item Master'!$A$4:$A$53,'Item Master'!$C$4:$C$53,"")))</f>
        <v/>
      </c>
      <c r="F40" s="49" t="n"/>
      <c r="G40" s="36">
        <f>IF($I40="","",_xlfn.XLOOKUP($I40,'Item Master'!$A$4:$A$53,'Item Master'!$E$4:$E$53,0))</f>
        <v/>
      </c>
      <c r="H40" s="50">
        <f>IF($I40="","",$F40*$G40)</f>
        <v/>
      </c>
      <c r="I40" s="51">
        <f>IF($C40="","",IF(COUNTIF('Item Master'!$A$4:$A$53,$C40)&gt;0,$C40,_xlfn.XLOOKUP($C40,'Item Master'!$B$4:$B$53,'Item Master'!$A$4:$A$53,"")))</f>
        <v/>
      </c>
    </row>
    <row r="41" ht="32" customHeight="1">
      <c r="A41" s="47" t="n"/>
      <c r="B41" s="46" t="n"/>
      <c r="C41" s="46" t="n"/>
      <c r="D41" s="46" t="n"/>
      <c r="E41" s="31">
        <f>IF($C41="","",IF($I41="","⚠️ Unknown code",_xlfn.XLOOKUP($I41,'Item Master'!$A$4:$A$53,'Item Master'!$C$4:$C$53,"")))</f>
        <v/>
      </c>
      <c r="F41" s="49" t="n"/>
      <c r="G41" s="36">
        <f>IF($I41="","",_xlfn.XLOOKUP($I41,'Item Master'!$A$4:$A$53,'Item Master'!$E$4:$E$53,0))</f>
        <v/>
      </c>
      <c r="H41" s="50">
        <f>IF($I41="","",$F41*$G41)</f>
        <v/>
      </c>
      <c r="I41" s="51">
        <f>IF($C41="","",IF(COUNTIF('Item Master'!$A$4:$A$53,$C41)&gt;0,$C41,_xlfn.XLOOKUP($C41,'Item Master'!$B$4:$B$53,'Item Master'!$A$4:$A$53,"")))</f>
        <v/>
      </c>
    </row>
    <row r="42" ht="32" customHeight="1">
      <c r="A42" s="47" t="n"/>
      <c r="B42" s="46" t="n"/>
      <c r="C42" s="46" t="n"/>
      <c r="D42" s="46" t="n"/>
      <c r="E42" s="31">
        <f>IF($C42="","",IF($I42="","⚠️ Unknown code",_xlfn.XLOOKUP($I42,'Item Master'!$A$4:$A$53,'Item Master'!$C$4:$C$53,"")))</f>
        <v/>
      </c>
      <c r="F42" s="49" t="n"/>
      <c r="G42" s="36">
        <f>IF($I42="","",_xlfn.XLOOKUP($I42,'Item Master'!$A$4:$A$53,'Item Master'!$E$4:$E$53,0))</f>
        <v/>
      </c>
      <c r="H42" s="50">
        <f>IF($I42="","",$F42*$G42)</f>
        <v/>
      </c>
      <c r="I42" s="51">
        <f>IF($C42="","",IF(COUNTIF('Item Master'!$A$4:$A$53,$C42)&gt;0,$C42,_xlfn.XLOOKUP($C42,'Item Master'!$B$4:$B$53,'Item Master'!$A$4:$A$53,"")))</f>
        <v/>
      </c>
    </row>
    <row r="43" ht="32" customHeight="1">
      <c r="A43" s="47" t="n"/>
      <c r="B43" s="46" t="n"/>
      <c r="C43" s="46" t="n"/>
      <c r="D43" s="46" t="n"/>
      <c r="E43" s="31">
        <f>IF($C43="","",IF($I43="","⚠️ Unknown code",_xlfn.XLOOKUP($I43,'Item Master'!$A$4:$A$53,'Item Master'!$C$4:$C$53,"")))</f>
        <v/>
      </c>
      <c r="F43" s="49" t="n"/>
      <c r="G43" s="36">
        <f>IF($I43="","",_xlfn.XLOOKUP($I43,'Item Master'!$A$4:$A$53,'Item Master'!$E$4:$E$53,0))</f>
        <v/>
      </c>
      <c r="H43" s="50">
        <f>IF($I43="","",$F43*$G43)</f>
        <v/>
      </c>
      <c r="I43" s="51">
        <f>IF($C43="","",IF(COUNTIF('Item Master'!$A$4:$A$53,$C43)&gt;0,$C43,_xlfn.XLOOKUP($C43,'Item Master'!$B$4:$B$53,'Item Master'!$A$4:$A$53,"")))</f>
        <v/>
      </c>
    </row>
    <row r="44" ht="32" customHeight="1">
      <c r="A44" s="47" t="n"/>
      <c r="B44" s="46" t="n"/>
      <c r="C44" s="46" t="n"/>
      <c r="D44" s="46" t="n"/>
      <c r="E44" s="31">
        <f>IF($C44="","",IF($I44="","⚠️ Unknown code",_xlfn.XLOOKUP($I44,'Item Master'!$A$4:$A$53,'Item Master'!$C$4:$C$53,"")))</f>
        <v/>
      </c>
      <c r="F44" s="49" t="n"/>
      <c r="G44" s="36">
        <f>IF($I44="","",_xlfn.XLOOKUP($I44,'Item Master'!$A$4:$A$53,'Item Master'!$E$4:$E$53,0))</f>
        <v/>
      </c>
      <c r="H44" s="50">
        <f>IF($I44="","",$F44*$G44)</f>
        <v/>
      </c>
      <c r="I44" s="51">
        <f>IF($C44="","",IF(COUNTIF('Item Master'!$A$4:$A$53,$C44)&gt;0,$C44,_xlfn.XLOOKUP($C44,'Item Master'!$B$4:$B$53,'Item Master'!$A$4:$A$53,"")))</f>
        <v/>
      </c>
    </row>
    <row r="45" ht="32" customHeight="1">
      <c r="A45" s="47" t="n"/>
      <c r="B45" s="46" t="n"/>
      <c r="C45" s="46" t="n"/>
      <c r="D45" s="46" t="n"/>
      <c r="E45" s="31">
        <f>IF($C45="","",IF($I45="","⚠️ Unknown code",_xlfn.XLOOKUP($I45,'Item Master'!$A$4:$A$53,'Item Master'!$C$4:$C$53,"")))</f>
        <v/>
      </c>
      <c r="F45" s="49" t="n"/>
      <c r="G45" s="36">
        <f>IF($I45="","",_xlfn.XLOOKUP($I45,'Item Master'!$A$4:$A$53,'Item Master'!$E$4:$E$53,0))</f>
        <v/>
      </c>
      <c r="H45" s="50">
        <f>IF($I45="","",$F45*$G45)</f>
        <v/>
      </c>
      <c r="I45" s="51">
        <f>IF($C45="","",IF(COUNTIF('Item Master'!$A$4:$A$53,$C45)&gt;0,$C45,_xlfn.XLOOKUP($C45,'Item Master'!$B$4:$B$53,'Item Master'!$A$4:$A$53,"")))</f>
        <v/>
      </c>
    </row>
    <row r="46" ht="32" customHeight="1">
      <c r="A46" s="47" t="n"/>
      <c r="B46" s="46" t="n"/>
      <c r="C46" s="46" t="n"/>
      <c r="D46" s="46" t="n"/>
      <c r="E46" s="31">
        <f>IF($C46="","",IF($I46="","⚠️ Unknown code",_xlfn.XLOOKUP($I46,'Item Master'!$A$4:$A$53,'Item Master'!$C$4:$C$53,"")))</f>
        <v/>
      </c>
      <c r="F46" s="49" t="n"/>
      <c r="G46" s="36">
        <f>IF($I46="","",_xlfn.XLOOKUP($I46,'Item Master'!$A$4:$A$53,'Item Master'!$E$4:$E$53,0))</f>
        <v/>
      </c>
      <c r="H46" s="50">
        <f>IF($I46="","",$F46*$G46)</f>
        <v/>
      </c>
      <c r="I46" s="51">
        <f>IF($C46="","",IF(COUNTIF('Item Master'!$A$4:$A$53,$C46)&gt;0,$C46,_xlfn.XLOOKUP($C46,'Item Master'!$B$4:$B$53,'Item Master'!$A$4:$A$53,"")))</f>
        <v/>
      </c>
    </row>
    <row r="47" ht="32" customHeight="1">
      <c r="A47" s="47" t="n"/>
      <c r="B47" s="46" t="n"/>
      <c r="C47" s="46" t="n"/>
      <c r="D47" s="46" t="n"/>
      <c r="E47" s="31">
        <f>IF($C47="","",IF($I47="","⚠️ Unknown code",_xlfn.XLOOKUP($I47,'Item Master'!$A$4:$A$53,'Item Master'!$C$4:$C$53,"")))</f>
        <v/>
      </c>
      <c r="F47" s="49" t="n"/>
      <c r="G47" s="36">
        <f>IF($I47="","",_xlfn.XLOOKUP($I47,'Item Master'!$A$4:$A$53,'Item Master'!$E$4:$E$53,0))</f>
        <v/>
      </c>
      <c r="H47" s="50">
        <f>IF($I47="","",$F47*$G47)</f>
        <v/>
      </c>
      <c r="I47" s="51">
        <f>IF($C47="","",IF(COUNTIF('Item Master'!$A$4:$A$53,$C47)&gt;0,$C47,_xlfn.XLOOKUP($C47,'Item Master'!$B$4:$B$53,'Item Master'!$A$4:$A$53,"")))</f>
        <v/>
      </c>
    </row>
    <row r="48" ht="32" customHeight="1">
      <c r="A48" s="47" t="n"/>
      <c r="B48" s="46" t="n"/>
      <c r="C48" s="46" t="n"/>
      <c r="D48" s="46" t="n"/>
      <c r="E48" s="31">
        <f>IF($C48="","",IF($I48="","⚠️ Unknown code",_xlfn.XLOOKUP($I48,'Item Master'!$A$4:$A$53,'Item Master'!$C$4:$C$53,"")))</f>
        <v/>
      </c>
      <c r="F48" s="49" t="n"/>
      <c r="G48" s="36">
        <f>IF($I48="","",_xlfn.XLOOKUP($I48,'Item Master'!$A$4:$A$53,'Item Master'!$E$4:$E$53,0))</f>
        <v/>
      </c>
      <c r="H48" s="50">
        <f>IF($I48="","",$F48*$G48)</f>
        <v/>
      </c>
      <c r="I48" s="51">
        <f>IF($C48="","",IF(COUNTIF('Item Master'!$A$4:$A$53,$C48)&gt;0,$C48,_xlfn.XLOOKUP($C48,'Item Master'!$B$4:$B$53,'Item Master'!$A$4:$A$53,"")))</f>
        <v/>
      </c>
    </row>
    <row r="49" ht="32" customHeight="1">
      <c r="A49" s="47" t="n"/>
      <c r="B49" s="46" t="n"/>
      <c r="C49" s="46" t="n"/>
      <c r="D49" s="46" t="n"/>
      <c r="E49" s="31">
        <f>IF($C49="","",IF($I49="","⚠️ Unknown code",_xlfn.XLOOKUP($I49,'Item Master'!$A$4:$A$53,'Item Master'!$C$4:$C$53,"")))</f>
        <v/>
      </c>
      <c r="F49" s="49" t="n"/>
      <c r="G49" s="36">
        <f>IF($I49="","",_xlfn.XLOOKUP($I49,'Item Master'!$A$4:$A$53,'Item Master'!$E$4:$E$53,0))</f>
        <v/>
      </c>
      <c r="H49" s="50">
        <f>IF($I49="","",$F49*$G49)</f>
        <v/>
      </c>
      <c r="I49" s="51">
        <f>IF($C49="","",IF(COUNTIF('Item Master'!$A$4:$A$53,$C49)&gt;0,$C49,_xlfn.XLOOKUP($C49,'Item Master'!$B$4:$B$53,'Item Master'!$A$4:$A$53,"")))</f>
        <v/>
      </c>
    </row>
    <row r="50" ht="32" customHeight="1">
      <c r="A50" s="47" t="n"/>
      <c r="B50" s="46" t="n"/>
      <c r="C50" s="46" t="n"/>
      <c r="D50" s="46" t="n"/>
      <c r="E50" s="31">
        <f>IF($C50="","",IF($I50="","⚠️ Unknown code",_xlfn.XLOOKUP($I50,'Item Master'!$A$4:$A$53,'Item Master'!$C$4:$C$53,"")))</f>
        <v/>
      </c>
      <c r="F50" s="49" t="n"/>
      <c r="G50" s="36">
        <f>IF($I50="","",_xlfn.XLOOKUP($I50,'Item Master'!$A$4:$A$53,'Item Master'!$E$4:$E$53,0))</f>
        <v/>
      </c>
      <c r="H50" s="50">
        <f>IF($I50="","",$F50*$G50)</f>
        <v/>
      </c>
      <c r="I50" s="51">
        <f>IF($C50="","",IF(COUNTIF('Item Master'!$A$4:$A$53,$C50)&gt;0,$C50,_xlfn.XLOOKUP($C50,'Item Master'!$B$4:$B$53,'Item Master'!$A$4:$A$53,"")))</f>
        <v/>
      </c>
    </row>
    <row r="51" ht="32" customHeight="1">
      <c r="A51" s="47" t="n"/>
      <c r="B51" s="46" t="n"/>
      <c r="C51" s="46" t="n"/>
      <c r="D51" s="46" t="n"/>
      <c r="E51" s="31">
        <f>IF($C51="","",IF($I51="","⚠️ Unknown code",_xlfn.XLOOKUP($I51,'Item Master'!$A$4:$A$53,'Item Master'!$C$4:$C$53,"")))</f>
        <v/>
      </c>
      <c r="F51" s="49" t="n"/>
      <c r="G51" s="36">
        <f>IF($I51="","",_xlfn.XLOOKUP($I51,'Item Master'!$A$4:$A$53,'Item Master'!$E$4:$E$53,0))</f>
        <v/>
      </c>
      <c r="H51" s="50">
        <f>IF($I51="","",$F51*$G51)</f>
        <v/>
      </c>
      <c r="I51" s="51">
        <f>IF($C51="","",IF(COUNTIF('Item Master'!$A$4:$A$53,$C51)&gt;0,$C51,_xlfn.XLOOKUP($C51,'Item Master'!$B$4:$B$53,'Item Master'!$A$4:$A$53,"")))</f>
        <v/>
      </c>
    </row>
    <row r="52" ht="32" customHeight="1">
      <c r="A52" s="47" t="n"/>
      <c r="B52" s="46" t="n"/>
      <c r="C52" s="46" t="n"/>
      <c r="D52" s="46" t="n"/>
      <c r="E52" s="31">
        <f>IF($C52="","",IF($I52="","⚠️ Unknown code",_xlfn.XLOOKUP($I52,'Item Master'!$A$4:$A$53,'Item Master'!$C$4:$C$53,"")))</f>
        <v/>
      </c>
      <c r="F52" s="49" t="n"/>
      <c r="G52" s="36">
        <f>IF($I52="","",_xlfn.XLOOKUP($I52,'Item Master'!$A$4:$A$53,'Item Master'!$E$4:$E$53,0))</f>
        <v/>
      </c>
      <c r="H52" s="50">
        <f>IF($I52="","",$F52*$G52)</f>
        <v/>
      </c>
      <c r="I52" s="51">
        <f>IF($C52="","",IF(COUNTIF('Item Master'!$A$4:$A$53,$C52)&gt;0,$C52,_xlfn.XLOOKUP($C52,'Item Master'!$B$4:$B$53,'Item Master'!$A$4:$A$53,"")))</f>
        <v/>
      </c>
    </row>
    <row r="53" ht="32" customHeight="1">
      <c r="A53" s="47" t="n"/>
      <c r="B53" s="46" t="n"/>
      <c r="C53" s="46" t="n"/>
      <c r="D53" s="46" t="n"/>
      <c r="E53" s="31">
        <f>IF($C53="","",IF($I53="","⚠️ Unknown code",_xlfn.XLOOKUP($I53,'Item Master'!$A$4:$A$53,'Item Master'!$C$4:$C$53,"")))</f>
        <v/>
      </c>
      <c r="F53" s="49" t="n"/>
      <c r="G53" s="36">
        <f>IF($I53="","",_xlfn.XLOOKUP($I53,'Item Master'!$A$4:$A$53,'Item Master'!$E$4:$E$53,0))</f>
        <v/>
      </c>
      <c r="H53" s="50">
        <f>IF($I53="","",$F53*$G53)</f>
        <v/>
      </c>
      <c r="I53" s="51">
        <f>IF($C53="","",IF(COUNTIF('Item Master'!$A$4:$A$53,$C53)&gt;0,$C53,_xlfn.XLOOKUP($C53,'Item Master'!$B$4:$B$53,'Item Master'!$A$4:$A$53,"")))</f>
        <v/>
      </c>
    </row>
    <row r="54" ht="32" customHeight="1">
      <c r="A54" s="47" t="n"/>
      <c r="B54" s="46" t="n"/>
      <c r="C54" s="46" t="n"/>
      <c r="D54" s="46" t="n"/>
      <c r="E54" s="31">
        <f>IF($C54="","",IF($I54="","⚠️ Unknown code",_xlfn.XLOOKUP($I54,'Item Master'!$A$4:$A$53,'Item Master'!$C$4:$C$53,"")))</f>
        <v/>
      </c>
      <c r="F54" s="49" t="n"/>
      <c r="G54" s="36">
        <f>IF($I54="","",_xlfn.XLOOKUP($I54,'Item Master'!$A$4:$A$53,'Item Master'!$E$4:$E$53,0))</f>
        <v/>
      </c>
      <c r="H54" s="50">
        <f>IF($I54="","",$F54*$G54)</f>
        <v/>
      </c>
      <c r="I54" s="51">
        <f>IF($C54="","",IF(COUNTIF('Item Master'!$A$4:$A$53,$C54)&gt;0,$C54,_xlfn.XLOOKUP($C54,'Item Master'!$B$4:$B$53,'Item Master'!$A$4:$A$53,"")))</f>
        <v/>
      </c>
    </row>
    <row r="55" ht="32" customHeight="1">
      <c r="A55" s="47" t="n"/>
      <c r="B55" s="46" t="n"/>
      <c r="C55" s="46" t="n"/>
      <c r="D55" s="46" t="n"/>
      <c r="E55" s="31">
        <f>IF($C55="","",IF($I55="","⚠️ Unknown code",_xlfn.XLOOKUP($I55,'Item Master'!$A$4:$A$53,'Item Master'!$C$4:$C$53,"")))</f>
        <v/>
      </c>
      <c r="F55" s="49" t="n"/>
      <c r="G55" s="36">
        <f>IF($I55="","",_xlfn.XLOOKUP($I55,'Item Master'!$A$4:$A$53,'Item Master'!$E$4:$E$53,0))</f>
        <v/>
      </c>
      <c r="H55" s="50">
        <f>IF($I55="","",$F55*$G55)</f>
        <v/>
      </c>
      <c r="I55" s="51">
        <f>IF($C55="","",IF(COUNTIF('Item Master'!$A$4:$A$53,$C55)&gt;0,$C55,_xlfn.XLOOKUP($C55,'Item Master'!$B$4:$B$53,'Item Master'!$A$4:$A$53,"")))</f>
        <v/>
      </c>
    </row>
    <row r="56" ht="32" customHeight="1">
      <c r="A56" s="47" t="n"/>
      <c r="B56" s="46" t="n"/>
      <c r="C56" s="46" t="n"/>
      <c r="D56" s="46" t="n"/>
      <c r="E56" s="31">
        <f>IF($C56="","",IF($I56="","⚠️ Unknown code",_xlfn.XLOOKUP($I56,'Item Master'!$A$4:$A$53,'Item Master'!$C$4:$C$53,"")))</f>
        <v/>
      </c>
      <c r="F56" s="49" t="n"/>
      <c r="G56" s="36">
        <f>IF($I56="","",_xlfn.XLOOKUP($I56,'Item Master'!$A$4:$A$53,'Item Master'!$E$4:$E$53,0))</f>
        <v/>
      </c>
      <c r="H56" s="50">
        <f>IF($I56="","",$F56*$G56)</f>
        <v/>
      </c>
      <c r="I56" s="51">
        <f>IF($C56="","",IF(COUNTIF('Item Master'!$A$4:$A$53,$C56)&gt;0,$C56,_xlfn.XLOOKUP($C56,'Item Master'!$B$4:$B$53,'Item Master'!$A$4:$A$53,"")))</f>
        <v/>
      </c>
    </row>
    <row r="57" ht="32" customHeight="1">
      <c r="A57" s="47" t="n"/>
      <c r="B57" s="46" t="n"/>
      <c r="C57" s="46" t="n"/>
      <c r="D57" s="46" t="n"/>
      <c r="E57" s="31">
        <f>IF($C57="","",IF($I57="","⚠️ Unknown code",_xlfn.XLOOKUP($I57,'Item Master'!$A$4:$A$53,'Item Master'!$C$4:$C$53,"")))</f>
        <v/>
      </c>
      <c r="F57" s="49" t="n"/>
      <c r="G57" s="36">
        <f>IF($I57="","",_xlfn.XLOOKUP($I57,'Item Master'!$A$4:$A$53,'Item Master'!$E$4:$E$53,0))</f>
        <v/>
      </c>
      <c r="H57" s="50">
        <f>IF($I57="","",$F57*$G57)</f>
        <v/>
      </c>
      <c r="I57" s="51">
        <f>IF($C57="","",IF(COUNTIF('Item Master'!$A$4:$A$53,$C57)&gt;0,$C57,_xlfn.XLOOKUP($C57,'Item Master'!$B$4:$B$53,'Item Master'!$A$4:$A$53,"")))</f>
        <v/>
      </c>
    </row>
    <row r="58" ht="32" customHeight="1">
      <c r="A58" s="47" t="n"/>
      <c r="B58" s="46" t="n"/>
      <c r="C58" s="46" t="n"/>
      <c r="D58" s="46" t="n"/>
      <c r="E58" s="31">
        <f>IF($C58="","",IF($I58="","⚠️ Unknown code",_xlfn.XLOOKUP($I58,'Item Master'!$A$4:$A$53,'Item Master'!$C$4:$C$53,"")))</f>
        <v/>
      </c>
      <c r="F58" s="49" t="n"/>
      <c r="G58" s="36">
        <f>IF($I58="","",_xlfn.XLOOKUP($I58,'Item Master'!$A$4:$A$53,'Item Master'!$E$4:$E$53,0))</f>
        <v/>
      </c>
      <c r="H58" s="50">
        <f>IF($I58="","",$F58*$G58)</f>
        <v/>
      </c>
      <c r="I58" s="51">
        <f>IF($C58="","",IF(COUNTIF('Item Master'!$A$4:$A$53,$C58)&gt;0,$C58,_xlfn.XLOOKUP($C58,'Item Master'!$B$4:$B$53,'Item Master'!$A$4:$A$53,"")))</f>
        <v/>
      </c>
    </row>
    <row r="59" ht="32" customHeight="1">
      <c r="A59" s="47" t="n"/>
      <c r="B59" s="46" t="n"/>
      <c r="C59" s="46" t="n"/>
      <c r="D59" s="46" t="n"/>
      <c r="E59" s="31">
        <f>IF($C59="","",IF($I59="","⚠️ Unknown code",_xlfn.XLOOKUP($I59,'Item Master'!$A$4:$A$53,'Item Master'!$C$4:$C$53,"")))</f>
        <v/>
      </c>
      <c r="F59" s="49" t="n"/>
      <c r="G59" s="36">
        <f>IF($I59="","",_xlfn.XLOOKUP($I59,'Item Master'!$A$4:$A$53,'Item Master'!$E$4:$E$53,0))</f>
        <v/>
      </c>
      <c r="H59" s="50">
        <f>IF($I59="","",$F59*$G59)</f>
        <v/>
      </c>
      <c r="I59" s="51">
        <f>IF($C59="","",IF(COUNTIF('Item Master'!$A$4:$A$53,$C59)&gt;0,$C59,_xlfn.XLOOKUP($C59,'Item Master'!$B$4:$B$53,'Item Master'!$A$4:$A$53,"")))</f>
        <v/>
      </c>
    </row>
    <row r="60" ht="32" customHeight="1">
      <c r="A60" s="47" t="n"/>
      <c r="B60" s="46" t="n"/>
      <c r="C60" s="46" t="n"/>
      <c r="D60" s="46" t="n"/>
      <c r="E60" s="31">
        <f>IF($C60="","",IF($I60="","⚠️ Unknown code",_xlfn.XLOOKUP($I60,'Item Master'!$A$4:$A$53,'Item Master'!$C$4:$C$53,"")))</f>
        <v/>
      </c>
      <c r="F60" s="49" t="n"/>
      <c r="G60" s="36">
        <f>IF($I60="","",_xlfn.XLOOKUP($I60,'Item Master'!$A$4:$A$53,'Item Master'!$E$4:$E$53,0))</f>
        <v/>
      </c>
      <c r="H60" s="50">
        <f>IF($I60="","",$F60*$G60)</f>
        <v/>
      </c>
      <c r="I60" s="51">
        <f>IF($C60="","",IF(COUNTIF('Item Master'!$A$4:$A$53,$C60)&gt;0,$C60,_xlfn.XLOOKUP($C60,'Item Master'!$B$4:$B$53,'Item Master'!$A$4:$A$53,"")))</f>
        <v/>
      </c>
    </row>
    <row r="61" ht="32" customHeight="1">
      <c r="A61" s="47" t="n"/>
      <c r="B61" s="46" t="n"/>
      <c r="C61" s="46" t="n"/>
      <c r="D61" s="46" t="n"/>
      <c r="E61" s="31">
        <f>IF($C61="","",IF($I61="","⚠️ Unknown code",_xlfn.XLOOKUP($I61,'Item Master'!$A$4:$A$53,'Item Master'!$C$4:$C$53,"")))</f>
        <v/>
      </c>
      <c r="F61" s="49" t="n"/>
      <c r="G61" s="36">
        <f>IF($I61="","",_xlfn.XLOOKUP($I61,'Item Master'!$A$4:$A$53,'Item Master'!$E$4:$E$53,0))</f>
        <v/>
      </c>
      <c r="H61" s="50">
        <f>IF($I61="","",$F61*$G61)</f>
        <v/>
      </c>
      <c r="I61" s="51">
        <f>IF($C61="","",IF(COUNTIF('Item Master'!$A$4:$A$53,$C61)&gt;0,$C61,_xlfn.XLOOKUP($C61,'Item Master'!$B$4:$B$53,'Item Master'!$A$4:$A$53,"")))</f>
        <v/>
      </c>
    </row>
    <row r="62" ht="32" customHeight="1">
      <c r="A62" s="47" t="n"/>
      <c r="B62" s="46" t="n"/>
      <c r="C62" s="46" t="n"/>
      <c r="D62" s="46" t="n"/>
      <c r="E62" s="31">
        <f>IF($C62="","",IF($I62="","⚠️ Unknown code",_xlfn.XLOOKUP($I62,'Item Master'!$A$4:$A$53,'Item Master'!$C$4:$C$53,"")))</f>
        <v/>
      </c>
      <c r="F62" s="49" t="n"/>
      <c r="G62" s="36">
        <f>IF($I62="","",_xlfn.XLOOKUP($I62,'Item Master'!$A$4:$A$53,'Item Master'!$E$4:$E$53,0))</f>
        <v/>
      </c>
      <c r="H62" s="50">
        <f>IF($I62="","",$F62*$G62)</f>
        <v/>
      </c>
      <c r="I62" s="51">
        <f>IF($C62="","",IF(COUNTIF('Item Master'!$A$4:$A$53,$C62)&gt;0,$C62,_xlfn.XLOOKUP($C62,'Item Master'!$B$4:$B$53,'Item Master'!$A$4:$A$53,"")))</f>
        <v/>
      </c>
    </row>
    <row r="63" ht="32" customHeight="1">
      <c r="A63" s="47" t="n"/>
      <c r="B63" s="46" t="n"/>
      <c r="C63" s="46" t="n"/>
      <c r="D63" s="46" t="n"/>
      <c r="E63" s="31">
        <f>IF($C63="","",IF($I63="","⚠️ Unknown code",_xlfn.XLOOKUP($I63,'Item Master'!$A$4:$A$53,'Item Master'!$C$4:$C$53,"")))</f>
        <v/>
      </c>
      <c r="F63" s="49" t="n"/>
      <c r="G63" s="36">
        <f>IF($I63="","",_xlfn.XLOOKUP($I63,'Item Master'!$A$4:$A$53,'Item Master'!$E$4:$E$53,0))</f>
        <v/>
      </c>
      <c r="H63" s="50">
        <f>IF($I63="","",$F63*$G63)</f>
        <v/>
      </c>
      <c r="I63" s="51">
        <f>IF($C63="","",IF(COUNTIF('Item Master'!$A$4:$A$53,$C63)&gt;0,$C63,_xlfn.XLOOKUP($C63,'Item Master'!$B$4:$B$53,'Item Master'!$A$4:$A$53,"")))</f>
        <v/>
      </c>
    </row>
    <row r="64" ht="32" customHeight="1">
      <c r="A64" s="47" t="n"/>
      <c r="B64" s="46" t="n"/>
      <c r="C64" s="46" t="n"/>
      <c r="D64" s="46" t="n"/>
      <c r="E64" s="31">
        <f>IF($C64="","",IF($I64="","⚠️ Unknown code",_xlfn.XLOOKUP($I64,'Item Master'!$A$4:$A$53,'Item Master'!$C$4:$C$53,"")))</f>
        <v/>
      </c>
      <c r="F64" s="49" t="n"/>
      <c r="G64" s="36">
        <f>IF($I64="","",_xlfn.XLOOKUP($I64,'Item Master'!$A$4:$A$53,'Item Master'!$E$4:$E$53,0))</f>
        <v/>
      </c>
      <c r="H64" s="50">
        <f>IF($I64="","",$F64*$G64)</f>
        <v/>
      </c>
      <c r="I64" s="51">
        <f>IF($C64="","",IF(COUNTIF('Item Master'!$A$4:$A$53,$C64)&gt;0,$C64,_xlfn.XLOOKUP($C64,'Item Master'!$B$4:$B$53,'Item Master'!$A$4:$A$53,"")))</f>
        <v/>
      </c>
    </row>
    <row r="65" ht="32" customHeight="1">
      <c r="A65" s="47" t="n"/>
      <c r="B65" s="46" t="n"/>
      <c r="C65" s="46" t="n"/>
      <c r="D65" s="46" t="n"/>
      <c r="E65" s="31">
        <f>IF($C65="","",IF($I65="","⚠️ Unknown code",_xlfn.XLOOKUP($I65,'Item Master'!$A$4:$A$53,'Item Master'!$C$4:$C$53,"")))</f>
        <v/>
      </c>
      <c r="F65" s="49" t="n"/>
      <c r="G65" s="36">
        <f>IF($I65="","",_xlfn.XLOOKUP($I65,'Item Master'!$A$4:$A$53,'Item Master'!$E$4:$E$53,0))</f>
        <v/>
      </c>
      <c r="H65" s="50">
        <f>IF($I65="","",$F65*$G65)</f>
        <v/>
      </c>
      <c r="I65" s="51">
        <f>IF($C65="","",IF(COUNTIF('Item Master'!$A$4:$A$53,$C65)&gt;0,$C65,_xlfn.XLOOKUP($C65,'Item Master'!$B$4:$B$53,'Item Master'!$A$4:$A$53,"")))</f>
        <v/>
      </c>
    </row>
    <row r="66" ht="32" customHeight="1">
      <c r="A66" s="47" t="n"/>
      <c r="B66" s="46" t="n"/>
      <c r="C66" s="46" t="n"/>
      <c r="D66" s="46" t="n"/>
      <c r="E66" s="31">
        <f>IF($C66="","",IF($I66="","⚠️ Unknown code",_xlfn.XLOOKUP($I66,'Item Master'!$A$4:$A$53,'Item Master'!$C$4:$C$53,"")))</f>
        <v/>
      </c>
      <c r="F66" s="49" t="n"/>
      <c r="G66" s="36">
        <f>IF($I66="","",_xlfn.XLOOKUP($I66,'Item Master'!$A$4:$A$53,'Item Master'!$E$4:$E$53,0))</f>
        <v/>
      </c>
      <c r="H66" s="50">
        <f>IF($I66="","",$F66*$G66)</f>
        <v/>
      </c>
      <c r="I66" s="51">
        <f>IF($C66="","",IF(COUNTIF('Item Master'!$A$4:$A$53,$C66)&gt;0,$C66,_xlfn.XLOOKUP($C66,'Item Master'!$B$4:$B$53,'Item Master'!$A$4:$A$53,"")))</f>
        <v/>
      </c>
    </row>
    <row r="67" ht="32" customHeight="1">
      <c r="A67" s="47" t="n"/>
      <c r="B67" s="46" t="n"/>
      <c r="C67" s="46" t="n"/>
      <c r="D67" s="46" t="n"/>
      <c r="E67" s="31">
        <f>IF($C67="","",IF($I67="","⚠️ Unknown code",_xlfn.XLOOKUP($I67,'Item Master'!$A$4:$A$53,'Item Master'!$C$4:$C$53,"")))</f>
        <v/>
      </c>
      <c r="F67" s="49" t="n"/>
      <c r="G67" s="36">
        <f>IF($I67="","",_xlfn.XLOOKUP($I67,'Item Master'!$A$4:$A$53,'Item Master'!$E$4:$E$53,0))</f>
        <v/>
      </c>
      <c r="H67" s="50">
        <f>IF($I67="","",$F67*$G67)</f>
        <v/>
      </c>
      <c r="I67" s="51">
        <f>IF($C67="","",IF(COUNTIF('Item Master'!$A$4:$A$53,$C67)&gt;0,$C67,_xlfn.XLOOKUP($C67,'Item Master'!$B$4:$B$53,'Item Master'!$A$4:$A$53,"")))</f>
        <v/>
      </c>
    </row>
    <row r="68" ht="32" customHeight="1">
      <c r="A68" s="47" t="n"/>
      <c r="B68" s="46" t="n"/>
      <c r="C68" s="46" t="n"/>
      <c r="D68" s="46" t="n"/>
      <c r="E68" s="31">
        <f>IF($C68="","",IF($I68="","⚠️ Unknown code",_xlfn.XLOOKUP($I68,'Item Master'!$A$4:$A$53,'Item Master'!$C$4:$C$53,"")))</f>
        <v/>
      </c>
      <c r="F68" s="49" t="n"/>
      <c r="G68" s="36">
        <f>IF($I68="","",_xlfn.XLOOKUP($I68,'Item Master'!$A$4:$A$53,'Item Master'!$E$4:$E$53,0))</f>
        <v/>
      </c>
      <c r="H68" s="50">
        <f>IF($I68="","",$F68*$G68)</f>
        <v/>
      </c>
      <c r="I68" s="51">
        <f>IF($C68="","",IF(COUNTIF('Item Master'!$A$4:$A$53,$C68)&gt;0,$C68,_xlfn.XLOOKUP($C68,'Item Master'!$B$4:$B$53,'Item Master'!$A$4:$A$53,"")))</f>
        <v/>
      </c>
    </row>
    <row r="69" ht="32" customHeight="1">
      <c r="A69" s="47" t="n"/>
      <c r="B69" s="46" t="n"/>
      <c r="C69" s="46" t="n"/>
      <c r="D69" s="46" t="n"/>
      <c r="E69" s="31">
        <f>IF($C69="","",IF($I69="","⚠️ Unknown code",_xlfn.XLOOKUP($I69,'Item Master'!$A$4:$A$53,'Item Master'!$C$4:$C$53,"")))</f>
        <v/>
      </c>
      <c r="F69" s="49" t="n"/>
      <c r="G69" s="36">
        <f>IF($I69="","",_xlfn.XLOOKUP($I69,'Item Master'!$A$4:$A$53,'Item Master'!$E$4:$E$53,0))</f>
        <v/>
      </c>
      <c r="H69" s="50">
        <f>IF($I69="","",$F69*$G69)</f>
        <v/>
      </c>
      <c r="I69" s="51">
        <f>IF($C69="","",IF(COUNTIF('Item Master'!$A$4:$A$53,$C69)&gt;0,$C69,_xlfn.XLOOKUP($C69,'Item Master'!$B$4:$B$53,'Item Master'!$A$4:$A$53,"")))</f>
        <v/>
      </c>
    </row>
    <row r="70" ht="32" customHeight="1">
      <c r="A70" s="47" t="n"/>
      <c r="B70" s="46" t="n"/>
      <c r="C70" s="46" t="n"/>
      <c r="D70" s="46" t="n"/>
      <c r="E70" s="31">
        <f>IF($C70="","",IF($I70="","⚠️ Unknown code",_xlfn.XLOOKUP($I70,'Item Master'!$A$4:$A$53,'Item Master'!$C$4:$C$53,"")))</f>
        <v/>
      </c>
      <c r="F70" s="49" t="n"/>
      <c r="G70" s="36">
        <f>IF($I70="","",_xlfn.XLOOKUP($I70,'Item Master'!$A$4:$A$53,'Item Master'!$E$4:$E$53,0))</f>
        <v/>
      </c>
      <c r="H70" s="50">
        <f>IF($I70="","",$F70*$G70)</f>
        <v/>
      </c>
      <c r="I70" s="51">
        <f>IF($C70="","",IF(COUNTIF('Item Master'!$A$4:$A$53,$C70)&gt;0,$C70,_xlfn.XLOOKUP($C70,'Item Master'!$B$4:$B$53,'Item Master'!$A$4:$A$53,"")))</f>
        <v/>
      </c>
    </row>
    <row r="71" ht="32" customHeight="1">
      <c r="A71" s="47" t="n"/>
      <c r="B71" s="46" t="n"/>
      <c r="C71" s="46" t="n"/>
      <c r="D71" s="46" t="n"/>
      <c r="E71" s="31">
        <f>IF($C71="","",IF($I71="","⚠️ Unknown code",_xlfn.XLOOKUP($I71,'Item Master'!$A$4:$A$53,'Item Master'!$C$4:$C$53,"")))</f>
        <v/>
      </c>
      <c r="F71" s="49" t="n"/>
      <c r="G71" s="36">
        <f>IF($I71="","",_xlfn.XLOOKUP($I71,'Item Master'!$A$4:$A$53,'Item Master'!$E$4:$E$53,0))</f>
        <v/>
      </c>
      <c r="H71" s="50">
        <f>IF($I71="","",$F71*$G71)</f>
        <v/>
      </c>
      <c r="I71" s="51">
        <f>IF($C71="","",IF(COUNTIF('Item Master'!$A$4:$A$53,$C71)&gt;0,$C71,_xlfn.XLOOKUP($C71,'Item Master'!$B$4:$B$53,'Item Master'!$A$4:$A$53,"")))</f>
        <v/>
      </c>
    </row>
    <row r="72" ht="32" customHeight="1">
      <c r="A72" s="47" t="n"/>
      <c r="B72" s="46" t="n"/>
      <c r="C72" s="46" t="n"/>
      <c r="D72" s="46" t="n"/>
      <c r="E72" s="31">
        <f>IF($C72="","",IF($I72="","⚠️ Unknown code",_xlfn.XLOOKUP($I72,'Item Master'!$A$4:$A$53,'Item Master'!$C$4:$C$53,"")))</f>
        <v/>
      </c>
      <c r="F72" s="49" t="n"/>
      <c r="G72" s="36">
        <f>IF($I72="","",_xlfn.XLOOKUP($I72,'Item Master'!$A$4:$A$53,'Item Master'!$E$4:$E$53,0))</f>
        <v/>
      </c>
      <c r="H72" s="50">
        <f>IF($I72="","",$F72*$G72)</f>
        <v/>
      </c>
      <c r="I72" s="51">
        <f>IF($C72="","",IF(COUNTIF('Item Master'!$A$4:$A$53,$C72)&gt;0,$C72,_xlfn.XLOOKUP($C72,'Item Master'!$B$4:$B$53,'Item Master'!$A$4:$A$53,"")))</f>
        <v/>
      </c>
    </row>
    <row r="73" ht="32" customHeight="1">
      <c r="A73" s="47" t="n"/>
      <c r="B73" s="46" t="n"/>
      <c r="C73" s="46" t="n"/>
      <c r="D73" s="46" t="n"/>
      <c r="E73" s="31">
        <f>IF($C73="","",IF($I73="","⚠️ Unknown code",_xlfn.XLOOKUP($I73,'Item Master'!$A$4:$A$53,'Item Master'!$C$4:$C$53,"")))</f>
        <v/>
      </c>
      <c r="F73" s="49" t="n"/>
      <c r="G73" s="36">
        <f>IF($I73="","",_xlfn.XLOOKUP($I73,'Item Master'!$A$4:$A$53,'Item Master'!$E$4:$E$53,0))</f>
        <v/>
      </c>
      <c r="H73" s="50">
        <f>IF($I73="","",$F73*$G73)</f>
        <v/>
      </c>
      <c r="I73" s="51">
        <f>IF($C73="","",IF(COUNTIF('Item Master'!$A$4:$A$53,$C73)&gt;0,$C73,_xlfn.XLOOKUP($C73,'Item Master'!$B$4:$B$53,'Item Master'!$A$4:$A$53,"")))</f>
        <v/>
      </c>
    </row>
    <row r="74" ht="32" customHeight="1">
      <c r="A74" s="47" t="n"/>
      <c r="B74" s="46" t="n"/>
      <c r="C74" s="46" t="n"/>
      <c r="D74" s="46" t="n"/>
      <c r="E74" s="31">
        <f>IF($C74="","",IF($I74="","⚠️ Unknown code",_xlfn.XLOOKUP($I74,'Item Master'!$A$4:$A$53,'Item Master'!$C$4:$C$53,"")))</f>
        <v/>
      </c>
      <c r="F74" s="49" t="n"/>
      <c r="G74" s="36">
        <f>IF($I74="","",_xlfn.XLOOKUP($I74,'Item Master'!$A$4:$A$53,'Item Master'!$E$4:$E$53,0))</f>
        <v/>
      </c>
      <c r="H74" s="50">
        <f>IF($I74="","",$F74*$G74)</f>
        <v/>
      </c>
      <c r="I74" s="51">
        <f>IF($C74="","",IF(COUNTIF('Item Master'!$A$4:$A$53,$C74)&gt;0,$C74,_xlfn.XLOOKUP($C74,'Item Master'!$B$4:$B$53,'Item Master'!$A$4:$A$53,"")))</f>
        <v/>
      </c>
    </row>
    <row r="75" ht="32" customHeight="1">
      <c r="A75" s="47" t="n"/>
      <c r="B75" s="46" t="n"/>
      <c r="C75" s="46" t="n"/>
      <c r="D75" s="46" t="n"/>
      <c r="E75" s="31">
        <f>IF($C75="","",IF($I75="","⚠️ Unknown code",_xlfn.XLOOKUP($I75,'Item Master'!$A$4:$A$53,'Item Master'!$C$4:$C$53,"")))</f>
        <v/>
      </c>
      <c r="F75" s="49" t="n"/>
      <c r="G75" s="36">
        <f>IF($I75="","",_xlfn.XLOOKUP($I75,'Item Master'!$A$4:$A$53,'Item Master'!$E$4:$E$53,0))</f>
        <v/>
      </c>
      <c r="H75" s="50">
        <f>IF($I75="","",$F75*$G75)</f>
        <v/>
      </c>
      <c r="I75" s="51">
        <f>IF($C75="","",IF(COUNTIF('Item Master'!$A$4:$A$53,$C75)&gt;0,$C75,_xlfn.XLOOKUP($C75,'Item Master'!$B$4:$B$53,'Item Master'!$A$4:$A$53,"")))</f>
        <v/>
      </c>
    </row>
    <row r="76" ht="32" customHeight="1">
      <c r="A76" s="47" t="n"/>
      <c r="B76" s="46" t="n"/>
      <c r="C76" s="46" t="n"/>
      <c r="D76" s="46" t="n"/>
      <c r="E76" s="31">
        <f>IF($C76="","",IF($I76="","⚠️ Unknown code",_xlfn.XLOOKUP($I76,'Item Master'!$A$4:$A$53,'Item Master'!$C$4:$C$53,"")))</f>
        <v/>
      </c>
      <c r="F76" s="49" t="n"/>
      <c r="G76" s="36">
        <f>IF($I76="","",_xlfn.XLOOKUP($I76,'Item Master'!$A$4:$A$53,'Item Master'!$E$4:$E$53,0))</f>
        <v/>
      </c>
      <c r="H76" s="50">
        <f>IF($I76="","",$F76*$G76)</f>
        <v/>
      </c>
      <c r="I76" s="51">
        <f>IF($C76="","",IF(COUNTIF('Item Master'!$A$4:$A$53,$C76)&gt;0,$C76,_xlfn.XLOOKUP($C76,'Item Master'!$B$4:$B$53,'Item Master'!$A$4:$A$53,"")))</f>
        <v/>
      </c>
    </row>
    <row r="77" ht="32" customHeight="1">
      <c r="A77" s="47" t="n"/>
      <c r="B77" s="46" t="n"/>
      <c r="C77" s="46" t="n"/>
      <c r="D77" s="46" t="n"/>
      <c r="E77" s="31">
        <f>IF($C77="","",IF($I77="","⚠️ Unknown code",_xlfn.XLOOKUP($I77,'Item Master'!$A$4:$A$53,'Item Master'!$C$4:$C$53,"")))</f>
        <v/>
      </c>
      <c r="F77" s="49" t="n"/>
      <c r="G77" s="36">
        <f>IF($I77="","",_xlfn.XLOOKUP($I77,'Item Master'!$A$4:$A$53,'Item Master'!$E$4:$E$53,0))</f>
        <v/>
      </c>
      <c r="H77" s="50">
        <f>IF($I77="","",$F77*$G77)</f>
        <v/>
      </c>
      <c r="I77" s="51">
        <f>IF($C77="","",IF(COUNTIF('Item Master'!$A$4:$A$53,$C77)&gt;0,$C77,_xlfn.XLOOKUP($C77,'Item Master'!$B$4:$B$53,'Item Master'!$A$4:$A$53,"")))</f>
        <v/>
      </c>
    </row>
    <row r="78" ht="32" customHeight="1">
      <c r="A78" s="47" t="n"/>
      <c r="B78" s="46" t="n"/>
      <c r="C78" s="46" t="n"/>
      <c r="D78" s="46" t="n"/>
      <c r="E78" s="31">
        <f>IF($C78="","",IF($I78="","⚠️ Unknown code",_xlfn.XLOOKUP($I78,'Item Master'!$A$4:$A$53,'Item Master'!$C$4:$C$53,"")))</f>
        <v/>
      </c>
      <c r="F78" s="49" t="n"/>
      <c r="G78" s="36">
        <f>IF($I78="","",_xlfn.XLOOKUP($I78,'Item Master'!$A$4:$A$53,'Item Master'!$E$4:$E$53,0))</f>
        <v/>
      </c>
      <c r="H78" s="50">
        <f>IF($I78="","",$F78*$G78)</f>
        <v/>
      </c>
      <c r="I78" s="51">
        <f>IF($C78="","",IF(COUNTIF('Item Master'!$A$4:$A$53,$C78)&gt;0,$C78,_xlfn.XLOOKUP($C78,'Item Master'!$B$4:$B$53,'Item Master'!$A$4:$A$53,"")))</f>
        <v/>
      </c>
    </row>
    <row r="79" ht="32" customHeight="1">
      <c r="A79" s="47" t="n"/>
      <c r="B79" s="46" t="n"/>
      <c r="C79" s="46" t="n"/>
      <c r="D79" s="46" t="n"/>
      <c r="E79" s="31">
        <f>IF($C79="","",IF($I79="","⚠️ Unknown code",_xlfn.XLOOKUP($I79,'Item Master'!$A$4:$A$53,'Item Master'!$C$4:$C$53,"")))</f>
        <v/>
      </c>
      <c r="F79" s="49" t="n"/>
      <c r="G79" s="36">
        <f>IF($I79="","",_xlfn.XLOOKUP($I79,'Item Master'!$A$4:$A$53,'Item Master'!$E$4:$E$53,0))</f>
        <v/>
      </c>
      <c r="H79" s="50">
        <f>IF($I79="","",$F79*$G79)</f>
        <v/>
      </c>
      <c r="I79" s="51">
        <f>IF($C79="","",IF(COUNTIF('Item Master'!$A$4:$A$53,$C79)&gt;0,$C79,_xlfn.XLOOKUP($C79,'Item Master'!$B$4:$B$53,'Item Master'!$A$4:$A$53,"")))</f>
        <v/>
      </c>
    </row>
    <row r="80" ht="32" customHeight="1">
      <c r="A80" s="47" t="n"/>
      <c r="B80" s="46" t="n"/>
      <c r="C80" s="46" t="n"/>
      <c r="D80" s="46" t="n"/>
      <c r="E80" s="31">
        <f>IF($C80="","",IF($I80="","⚠️ Unknown code",_xlfn.XLOOKUP($I80,'Item Master'!$A$4:$A$53,'Item Master'!$C$4:$C$53,"")))</f>
        <v/>
      </c>
      <c r="F80" s="49" t="n"/>
      <c r="G80" s="36">
        <f>IF($I80="","",_xlfn.XLOOKUP($I80,'Item Master'!$A$4:$A$53,'Item Master'!$E$4:$E$53,0))</f>
        <v/>
      </c>
      <c r="H80" s="50">
        <f>IF($I80="","",$F80*$G80)</f>
        <v/>
      </c>
      <c r="I80" s="51">
        <f>IF($C80="","",IF(COUNTIF('Item Master'!$A$4:$A$53,$C80)&gt;0,$C80,_xlfn.XLOOKUP($C80,'Item Master'!$B$4:$B$53,'Item Master'!$A$4:$A$53,"")))</f>
        <v/>
      </c>
    </row>
    <row r="81" ht="32" customHeight="1">
      <c r="A81" s="47" t="n"/>
      <c r="B81" s="46" t="n"/>
      <c r="C81" s="46" t="n"/>
      <c r="D81" s="46" t="n"/>
      <c r="E81" s="31">
        <f>IF($C81="","",IF($I81="","⚠️ Unknown code",_xlfn.XLOOKUP($I81,'Item Master'!$A$4:$A$53,'Item Master'!$C$4:$C$53,"")))</f>
        <v/>
      </c>
      <c r="F81" s="49" t="n"/>
      <c r="G81" s="36">
        <f>IF($I81="","",_xlfn.XLOOKUP($I81,'Item Master'!$A$4:$A$53,'Item Master'!$E$4:$E$53,0))</f>
        <v/>
      </c>
      <c r="H81" s="50">
        <f>IF($I81="","",$F81*$G81)</f>
        <v/>
      </c>
      <c r="I81" s="51">
        <f>IF($C81="","",IF(COUNTIF('Item Master'!$A$4:$A$53,$C81)&gt;0,$C81,_xlfn.XLOOKUP($C81,'Item Master'!$B$4:$B$53,'Item Master'!$A$4:$A$53,"")))</f>
        <v/>
      </c>
    </row>
    <row r="82" ht="32" customHeight="1">
      <c r="A82" s="47" t="n"/>
      <c r="B82" s="46" t="n"/>
      <c r="C82" s="46" t="n"/>
      <c r="D82" s="46" t="n"/>
      <c r="E82" s="31">
        <f>IF($C82="","",IF($I82="","⚠️ Unknown code",_xlfn.XLOOKUP($I82,'Item Master'!$A$4:$A$53,'Item Master'!$C$4:$C$53,"")))</f>
        <v/>
      </c>
      <c r="F82" s="49" t="n"/>
      <c r="G82" s="36">
        <f>IF($I82="","",_xlfn.XLOOKUP($I82,'Item Master'!$A$4:$A$53,'Item Master'!$E$4:$E$53,0))</f>
        <v/>
      </c>
      <c r="H82" s="50">
        <f>IF($I82="","",$F82*$G82)</f>
        <v/>
      </c>
      <c r="I82" s="51">
        <f>IF($C82="","",IF(COUNTIF('Item Master'!$A$4:$A$53,$C82)&gt;0,$C82,_xlfn.XLOOKUP($C82,'Item Master'!$B$4:$B$53,'Item Master'!$A$4:$A$53,"")))</f>
        <v/>
      </c>
    </row>
    <row r="83" ht="32" customHeight="1">
      <c r="A83" s="47" t="n"/>
      <c r="B83" s="46" t="n"/>
      <c r="C83" s="46" t="n"/>
      <c r="D83" s="46" t="n"/>
      <c r="E83" s="31">
        <f>IF($C83="","",IF($I83="","⚠️ Unknown code",_xlfn.XLOOKUP($I83,'Item Master'!$A$4:$A$53,'Item Master'!$C$4:$C$53,"")))</f>
        <v/>
      </c>
      <c r="F83" s="49" t="n"/>
      <c r="G83" s="36">
        <f>IF($I83="","",_xlfn.XLOOKUP($I83,'Item Master'!$A$4:$A$53,'Item Master'!$E$4:$E$53,0))</f>
        <v/>
      </c>
      <c r="H83" s="50">
        <f>IF($I83="","",$F83*$G83)</f>
        <v/>
      </c>
      <c r="I83" s="51">
        <f>IF($C83="","",IF(COUNTIF('Item Master'!$A$4:$A$53,$C83)&gt;0,$C83,_xlfn.XLOOKUP($C83,'Item Master'!$B$4:$B$53,'Item Master'!$A$4:$A$53,"")))</f>
        <v/>
      </c>
    </row>
    <row r="84" ht="32" customHeight="1">
      <c r="A84" s="47" t="n"/>
      <c r="B84" s="46" t="n"/>
      <c r="C84" s="46" t="n"/>
      <c r="D84" s="46" t="n"/>
      <c r="E84" s="31">
        <f>IF($C84="","",IF($I84="","⚠️ Unknown code",_xlfn.XLOOKUP($I84,'Item Master'!$A$4:$A$53,'Item Master'!$C$4:$C$53,"")))</f>
        <v/>
      </c>
      <c r="F84" s="49" t="n"/>
      <c r="G84" s="36">
        <f>IF($I84="","",_xlfn.XLOOKUP($I84,'Item Master'!$A$4:$A$53,'Item Master'!$E$4:$E$53,0))</f>
        <v/>
      </c>
      <c r="H84" s="50">
        <f>IF($I84="","",$F84*$G84)</f>
        <v/>
      </c>
      <c r="I84" s="51">
        <f>IF($C84="","",IF(COUNTIF('Item Master'!$A$4:$A$53,$C84)&gt;0,$C84,_xlfn.XLOOKUP($C84,'Item Master'!$B$4:$B$53,'Item Master'!$A$4:$A$53,"")))</f>
        <v/>
      </c>
    </row>
    <row r="85" ht="32" customHeight="1">
      <c r="A85" s="47" t="n"/>
      <c r="B85" s="46" t="n"/>
      <c r="C85" s="46" t="n"/>
      <c r="D85" s="46" t="n"/>
      <c r="E85" s="31">
        <f>IF($C85="","",IF($I85="","⚠️ Unknown code",_xlfn.XLOOKUP($I85,'Item Master'!$A$4:$A$53,'Item Master'!$C$4:$C$53,"")))</f>
        <v/>
      </c>
      <c r="F85" s="49" t="n"/>
      <c r="G85" s="36">
        <f>IF($I85="","",_xlfn.XLOOKUP($I85,'Item Master'!$A$4:$A$53,'Item Master'!$E$4:$E$53,0))</f>
        <v/>
      </c>
      <c r="H85" s="50">
        <f>IF($I85="","",$F85*$G85)</f>
        <v/>
      </c>
      <c r="I85" s="51">
        <f>IF($C85="","",IF(COUNTIF('Item Master'!$A$4:$A$53,$C85)&gt;0,$C85,_xlfn.XLOOKUP($C85,'Item Master'!$B$4:$B$53,'Item Master'!$A$4:$A$53,"")))</f>
        <v/>
      </c>
    </row>
    <row r="86" ht="32" customHeight="1">
      <c r="A86" s="47" t="n"/>
      <c r="B86" s="46" t="n"/>
      <c r="C86" s="46" t="n"/>
      <c r="D86" s="46" t="n"/>
      <c r="E86" s="31">
        <f>IF($C86="","",IF($I86="","⚠️ Unknown code",_xlfn.XLOOKUP($I86,'Item Master'!$A$4:$A$53,'Item Master'!$C$4:$C$53,"")))</f>
        <v/>
      </c>
      <c r="F86" s="49" t="n"/>
      <c r="G86" s="36">
        <f>IF($I86="","",_xlfn.XLOOKUP($I86,'Item Master'!$A$4:$A$53,'Item Master'!$E$4:$E$53,0))</f>
        <v/>
      </c>
      <c r="H86" s="50">
        <f>IF($I86="","",$F86*$G86)</f>
        <v/>
      </c>
      <c r="I86" s="51">
        <f>IF($C86="","",IF(COUNTIF('Item Master'!$A$4:$A$53,$C86)&gt;0,$C86,_xlfn.XLOOKUP($C86,'Item Master'!$B$4:$B$53,'Item Master'!$A$4:$A$53,"")))</f>
        <v/>
      </c>
    </row>
    <row r="87" ht="32" customHeight="1">
      <c r="A87" s="47" t="n"/>
      <c r="B87" s="46" t="n"/>
      <c r="C87" s="46" t="n"/>
      <c r="D87" s="46" t="n"/>
      <c r="E87" s="31">
        <f>IF($C87="","",IF($I87="","⚠️ Unknown code",_xlfn.XLOOKUP($I87,'Item Master'!$A$4:$A$53,'Item Master'!$C$4:$C$53,"")))</f>
        <v/>
      </c>
      <c r="F87" s="49" t="n"/>
      <c r="G87" s="36">
        <f>IF($I87="","",_xlfn.XLOOKUP($I87,'Item Master'!$A$4:$A$53,'Item Master'!$E$4:$E$53,0))</f>
        <v/>
      </c>
      <c r="H87" s="50">
        <f>IF($I87="","",$F87*$G87)</f>
        <v/>
      </c>
      <c r="I87" s="51">
        <f>IF($C87="","",IF(COUNTIF('Item Master'!$A$4:$A$53,$C87)&gt;0,$C87,_xlfn.XLOOKUP($C87,'Item Master'!$B$4:$B$53,'Item Master'!$A$4:$A$53,"")))</f>
        <v/>
      </c>
    </row>
    <row r="88" ht="32" customHeight="1">
      <c r="A88" s="47" t="n"/>
      <c r="B88" s="46" t="n"/>
      <c r="C88" s="46" t="n"/>
      <c r="D88" s="46" t="n"/>
      <c r="E88" s="31">
        <f>IF($C88="","",IF($I88="","⚠️ Unknown code",_xlfn.XLOOKUP($I88,'Item Master'!$A$4:$A$53,'Item Master'!$C$4:$C$53,"")))</f>
        <v/>
      </c>
      <c r="F88" s="49" t="n"/>
      <c r="G88" s="36">
        <f>IF($I88="","",_xlfn.XLOOKUP($I88,'Item Master'!$A$4:$A$53,'Item Master'!$E$4:$E$53,0))</f>
        <v/>
      </c>
      <c r="H88" s="50">
        <f>IF($I88="","",$F88*$G88)</f>
        <v/>
      </c>
      <c r="I88" s="51">
        <f>IF($C88="","",IF(COUNTIF('Item Master'!$A$4:$A$53,$C88)&gt;0,$C88,_xlfn.XLOOKUP($C88,'Item Master'!$B$4:$B$53,'Item Master'!$A$4:$A$53,"")))</f>
        <v/>
      </c>
    </row>
    <row r="89" ht="32" customHeight="1">
      <c r="A89" s="47" t="n"/>
      <c r="B89" s="46" t="n"/>
      <c r="C89" s="46" t="n"/>
      <c r="D89" s="46" t="n"/>
      <c r="E89" s="31">
        <f>IF($C89="","",IF($I89="","⚠️ Unknown code",_xlfn.XLOOKUP($I89,'Item Master'!$A$4:$A$53,'Item Master'!$C$4:$C$53,"")))</f>
        <v/>
      </c>
      <c r="F89" s="49" t="n"/>
      <c r="G89" s="36">
        <f>IF($I89="","",_xlfn.XLOOKUP($I89,'Item Master'!$A$4:$A$53,'Item Master'!$E$4:$E$53,0))</f>
        <v/>
      </c>
      <c r="H89" s="50">
        <f>IF($I89="","",$F89*$G89)</f>
        <v/>
      </c>
      <c r="I89" s="51">
        <f>IF($C89="","",IF(COUNTIF('Item Master'!$A$4:$A$53,$C89)&gt;0,$C89,_xlfn.XLOOKUP($C89,'Item Master'!$B$4:$B$53,'Item Master'!$A$4:$A$53,"")))</f>
        <v/>
      </c>
    </row>
    <row r="90" ht="32" customHeight="1">
      <c r="A90" s="47" t="n"/>
      <c r="B90" s="46" t="n"/>
      <c r="C90" s="46" t="n"/>
      <c r="D90" s="46" t="n"/>
      <c r="E90" s="31">
        <f>IF($C90="","",IF($I90="","⚠️ Unknown code",_xlfn.XLOOKUP($I90,'Item Master'!$A$4:$A$53,'Item Master'!$C$4:$C$53,"")))</f>
        <v/>
      </c>
      <c r="F90" s="49" t="n"/>
      <c r="G90" s="36">
        <f>IF($I90="","",_xlfn.XLOOKUP($I90,'Item Master'!$A$4:$A$53,'Item Master'!$E$4:$E$53,0))</f>
        <v/>
      </c>
      <c r="H90" s="50">
        <f>IF($I90="","",$F90*$G90)</f>
        <v/>
      </c>
      <c r="I90" s="51">
        <f>IF($C90="","",IF(COUNTIF('Item Master'!$A$4:$A$53,$C90)&gt;0,$C90,_xlfn.XLOOKUP($C90,'Item Master'!$B$4:$B$53,'Item Master'!$A$4:$A$53,"")))</f>
        <v/>
      </c>
    </row>
    <row r="91" ht="32" customHeight="1">
      <c r="A91" s="47" t="n"/>
      <c r="B91" s="46" t="n"/>
      <c r="C91" s="46" t="n"/>
      <c r="D91" s="46" t="n"/>
      <c r="E91" s="31">
        <f>IF($C91="","",IF($I91="","⚠️ Unknown code",_xlfn.XLOOKUP($I91,'Item Master'!$A$4:$A$53,'Item Master'!$C$4:$C$53,"")))</f>
        <v/>
      </c>
      <c r="F91" s="49" t="n"/>
      <c r="G91" s="36">
        <f>IF($I91="","",_xlfn.XLOOKUP($I91,'Item Master'!$A$4:$A$53,'Item Master'!$E$4:$E$53,0))</f>
        <v/>
      </c>
      <c r="H91" s="50">
        <f>IF($I91="","",$F91*$G91)</f>
        <v/>
      </c>
      <c r="I91" s="51">
        <f>IF($C91="","",IF(COUNTIF('Item Master'!$A$4:$A$53,$C91)&gt;0,$C91,_xlfn.XLOOKUP($C91,'Item Master'!$B$4:$B$53,'Item Master'!$A$4:$A$53,"")))</f>
        <v/>
      </c>
    </row>
    <row r="92" ht="32" customHeight="1">
      <c r="A92" s="47" t="n"/>
      <c r="B92" s="46" t="n"/>
      <c r="C92" s="46" t="n"/>
      <c r="D92" s="46" t="n"/>
      <c r="E92" s="31">
        <f>IF($C92="","",IF($I92="","⚠️ Unknown code",_xlfn.XLOOKUP($I92,'Item Master'!$A$4:$A$53,'Item Master'!$C$4:$C$53,"")))</f>
        <v/>
      </c>
      <c r="F92" s="49" t="n"/>
      <c r="G92" s="36">
        <f>IF($I92="","",_xlfn.XLOOKUP($I92,'Item Master'!$A$4:$A$53,'Item Master'!$E$4:$E$53,0))</f>
        <v/>
      </c>
      <c r="H92" s="50">
        <f>IF($I92="","",$F92*$G92)</f>
        <v/>
      </c>
      <c r="I92" s="51">
        <f>IF($C92="","",IF(COUNTIF('Item Master'!$A$4:$A$53,$C92)&gt;0,$C92,_xlfn.XLOOKUP($C92,'Item Master'!$B$4:$B$53,'Item Master'!$A$4:$A$53,"")))</f>
        <v/>
      </c>
    </row>
    <row r="93" ht="32" customHeight="1">
      <c r="A93" s="47" t="n"/>
      <c r="B93" s="46" t="n"/>
      <c r="C93" s="46" t="n"/>
      <c r="D93" s="46" t="n"/>
      <c r="E93" s="31">
        <f>IF($C93="","",IF($I93="","⚠️ Unknown code",_xlfn.XLOOKUP($I93,'Item Master'!$A$4:$A$53,'Item Master'!$C$4:$C$53,"")))</f>
        <v/>
      </c>
      <c r="F93" s="49" t="n"/>
      <c r="G93" s="36">
        <f>IF($I93="","",_xlfn.XLOOKUP($I93,'Item Master'!$A$4:$A$53,'Item Master'!$E$4:$E$53,0))</f>
        <v/>
      </c>
      <c r="H93" s="50">
        <f>IF($I93="","",$F93*$G93)</f>
        <v/>
      </c>
      <c r="I93" s="51">
        <f>IF($C93="","",IF(COUNTIF('Item Master'!$A$4:$A$53,$C93)&gt;0,$C93,_xlfn.XLOOKUP($C93,'Item Master'!$B$4:$B$53,'Item Master'!$A$4:$A$53,"")))</f>
        <v/>
      </c>
    </row>
    <row r="94" ht="32" customHeight="1">
      <c r="A94" s="47" t="n"/>
      <c r="B94" s="46" t="n"/>
      <c r="C94" s="46" t="n"/>
      <c r="D94" s="46" t="n"/>
      <c r="E94" s="31">
        <f>IF($C94="","",IF($I94="","⚠️ Unknown code",_xlfn.XLOOKUP($I94,'Item Master'!$A$4:$A$53,'Item Master'!$C$4:$C$53,"")))</f>
        <v/>
      </c>
      <c r="F94" s="49" t="n"/>
      <c r="G94" s="36">
        <f>IF($I94="","",_xlfn.XLOOKUP($I94,'Item Master'!$A$4:$A$53,'Item Master'!$E$4:$E$53,0))</f>
        <v/>
      </c>
      <c r="H94" s="50">
        <f>IF($I94="","",$F94*$G94)</f>
        <v/>
      </c>
      <c r="I94" s="51">
        <f>IF($C94="","",IF(COUNTIF('Item Master'!$A$4:$A$53,$C94)&gt;0,$C94,_xlfn.XLOOKUP($C94,'Item Master'!$B$4:$B$53,'Item Master'!$A$4:$A$53,"")))</f>
        <v/>
      </c>
    </row>
    <row r="95" ht="32" customHeight="1">
      <c r="A95" s="47" t="n"/>
      <c r="B95" s="46" t="n"/>
      <c r="C95" s="46" t="n"/>
      <c r="D95" s="46" t="n"/>
      <c r="E95" s="31">
        <f>IF($C95="","",IF($I95="","⚠️ Unknown code",_xlfn.XLOOKUP($I95,'Item Master'!$A$4:$A$53,'Item Master'!$C$4:$C$53,"")))</f>
        <v/>
      </c>
      <c r="F95" s="49" t="n"/>
      <c r="G95" s="36">
        <f>IF($I95="","",_xlfn.XLOOKUP($I95,'Item Master'!$A$4:$A$53,'Item Master'!$E$4:$E$53,0))</f>
        <v/>
      </c>
      <c r="H95" s="50">
        <f>IF($I95="","",$F95*$G95)</f>
        <v/>
      </c>
      <c r="I95" s="51">
        <f>IF($C95="","",IF(COUNTIF('Item Master'!$A$4:$A$53,$C95)&gt;0,$C95,_xlfn.XLOOKUP($C95,'Item Master'!$B$4:$B$53,'Item Master'!$A$4:$A$53,"")))</f>
        <v/>
      </c>
    </row>
    <row r="96" ht="32" customHeight="1">
      <c r="A96" s="47" t="n"/>
      <c r="B96" s="46" t="n"/>
      <c r="C96" s="46" t="n"/>
      <c r="D96" s="46" t="n"/>
      <c r="E96" s="31">
        <f>IF($C96="","",IF($I96="","⚠️ Unknown code",_xlfn.XLOOKUP($I96,'Item Master'!$A$4:$A$53,'Item Master'!$C$4:$C$53,"")))</f>
        <v/>
      </c>
      <c r="F96" s="49" t="n"/>
      <c r="G96" s="36">
        <f>IF($I96="","",_xlfn.XLOOKUP($I96,'Item Master'!$A$4:$A$53,'Item Master'!$E$4:$E$53,0))</f>
        <v/>
      </c>
      <c r="H96" s="50">
        <f>IF($I96="","",$F96*$G96)</f>
        <v/>
      </c>
      <c r="I96" s="51">
        <f>IF($C96="","",IF(COUNTIF('Item Master'!$A$4:$A$53,$C96)&gt;0,$C96,_xlfn.XLOOKUP($C96,'Item Master'!$B$4:$B$53,'Item Master'!$A$4:$A$53,"")))</f>
        <v/>
      </c>
    </row>
    <row r="97" ht="32" customHeight="1">
      <c r="A97" s="47" t="n"/>
      <c r="B97" s="46" t="n"/>
      <c r="C97" s="46" t="n"/>
      <c r="D97" s="46" t="n"/>
      <c r="E97" s="31">
        <f>IF($C97="","",IF($I97="","⚠️ Unknown code",_xlfn.XLOOKUP($I97,'Item Master'!$A$4:$A$53,'Item Master'!$C$4:$C$53,"")))</f>
        <v/>
      </c>
      <c r="F97" s="49" t="n"/>
      <c r="G97" s="36">
        <f>IF($I97="","",_xlfn.XLOOKUP($I97,'Item Master'!$A$4:$A$53,'Item Master'!$E$4:$E$53,0))</f>
        <v/>
      </c>
      <c r="H97" s="50">
        <f>IF($I97="","",$F97*$G97)</f>
        <v/>
      </c>
      <c r="I97" s="51">
        <f>IF($C97="","",IF(COUNTIF('Item Master'!$A$4:$A$53,$C97)&gt;0,$C97,_xlfn.XLOOKUP($C97,'Item Master'!$B$4:$B$53,'Item Master'!$A$4:$A$53,"")))</f>
        <v/>
      </c>
    </row>
    <row r="98" ht="32" customHeight="1">
      <c r="A98" s="47" t="n"/>
      <c r="B98" s="46" t="n"/>
      <c r="C98" s="46" t="n"/>
      <c r="D98" s="46" t="n"/>
      <c r="E98" s="31">
        <f>IF($C98="","",IF($I98="","⚠️ Unknown code",_xlfn.XLOOKUP($I98,'Item Master'!$A$4:$A$53,'Item Master'!$C$4:$C$53,"")))</f>
        <v/>
      </c>
      <c r="F98" s="49" t="n"/>
      <c r="G98" s="36">
        <f>IF($I98="","",_xlfn.XLOOKUP($I98,'Item Master'!$A$4:$A$53,'Item Master'!$E$4:$E$53,0))</f>
        <v/>
      </c>
      <c r="H98" s="50">
        <f>IF($I98="","",$F98*$G98)</f>
        <v/>
      </c>
      <c r="I98" s="51">
        <f>IF($C98="","",IF(COUNTIF('Item Master'!$A$4:$A$53,$C98)&gt;0,$C98,_xlfn.XLOOKUP($C98,'Item Master'!$B$4:$B$53,'Item Master'!$A$4:$A$53,"")))</f>
        <v/>
      </c>
    </row>
    <row r="99" ht="32" customHeight="1">
      <c r="A99" s="47" t="n"/>
      <c r="B99" s="46" t="n"/>
      <c r="C99" s="46" t="n"/>
      <c r="D99" s="46" t="n"/>
      <c r="E99" s="31">
        <f>IF($C99="","",IF($I99="","⚠️ Unknown code",_xlfn.XLOOKUP($I99,'Item Master'!$A$4:$A$53,'Item Master'!$C$4:$C$53,"")))</f>
        <v/>
      </c>
      <c r="F99" s="49" t="n"/>
      <c r="G99" s="36">
        <f>IF($I99="","",_xlfn.XLOOKUP($I99,'Item Master'!$A$4:$A$53,'Item Master'!$E$4:$E$53,0))</f>
        <v/>
      </c>
      <c r="H99" s="50">
        <f>IF($I99="","",$F99*$G99)</f>
        <v/>
      </c>
      <c r="I99" s="51">
        <f>IF($C99="","",IF(COUNTIF('Item Master'!$A$4:$A$53,$C99)&gt;0,$C99,_xlfn.XLOOKUP($C99,'Item Master'!$B$4:$B$53,'Item Master'!$A$4:$A$53,"")))</f>
        <v/>
      </c>
    </row>
    <row r="100" ht="32" customHeight="1">
      <c r="A100" s="47" t="n"/>
      <c r="B100" s="46" t="n"/>
      <c r="C100" s="46" t="n"/>
      <c r="D100" s="46" t="n"/>
      <c r="E100" s="31">
        <f>IF($C100="","",IF($I100="","⚠️ Unknown code",_xlfn.XLOOKUP($I100,'Item Master'!$A$4:$A$53,'Item Master'!$C$4:$C$53,"")))</f>
        <v/>
      </c>
      <c r="F100" s="49" t="n"/>
      <c r="G100" s="36">
        <f>IF($I100="","",_xlfn.XLOOKUP($I100,'Item Master'!$A$4:$A$53,'Item Master'!$E$4:$E$53,0))</f>
        <v/>
      </c>
      <c r="H100" s="50">
        <f>IF($I100="","",$F100*$G100)</f>
        <v/>
      </c>
      <c r="I100" s="51">
        <f>IF($C100="","",IF(COUNTIF('Item Master'!$A$4:$A$53,$C100)&gt;0,$C100,_xlfn.XLOOKUP($C100,'Item Master'!$B$4:$B$53,'Item Master'!$A$4:$A$53,"")))</f>
        <v/>
      </c>
    </row>
    <row r="101" ht="32" customHeight="1">
      <c r="A101" s="47" t="n"/>
      <c r="B101" s="46" t="n"/>
      <c r="C101" s="46" t="n"/>
      <c r="D101" s="46" t="n"/>
      <c r="E101" s="31">
        <f>IF($C101="","",IF($I101="","⚠️ Unknown code",_xlfn.XLOOKUP($I101,'Item Master'!$A$4:$A$53,'Item Master'!$C$4:$C$53,"")))</f>
        <v/>
      </c>
      <c r="F101" s="49" t="n"/>
      <c r="G101" s="36">
        <f>IF($I101="","",_xlfn.XLOOKUP($I101,'Item Master'!$A$4:$A$53,'Item Master'!$E$4:$E$53,0))</f>
        <v/>
      </c>
      <c r="H101" s="50">
        <f>IF($I101="","",$F101*$G101)</f>
        <v/>
      </c>
      <c r="I101" s="51">
        <f>IF($C101="","",IF(COUNTIF('Item Master'!$A$4:$A$53,$C101)&gt;0,$C101,_xlfn.XLOOKUP($C101,'Item Master'!$B$4:$B$53,'Item Master'!$A$4:$A$53,"")))</f>
        <v/>
      </c>
    </row>
    <row r="102" ht="32" customHeight="1">
      <c r="A102" s="47" t="n"/>
      <c r="B102" s="46" t="n"/>
      <c r="C102" s="46" t="n"/>
      <c r="D102" s="46" t="n"/>
      <c r="E102" s="31">
        <f>IF($C102="","",IF($I102="","⚠️ Unknown code",_xlfn.XLOOKUP($I102,'Item Master'!$A$4:$A$53,'Item Master'!$C$4:$C$53,"")))</f>
        <v/>
      </c>
      <c r="F102" s="49" t="n"/>
      <c r="G102" s="36">
        <f>IF($I102="","",_xlfn.XLOOKUP($I102,'Item Master'!$A$4:$A$53,'Item Master'!$E$4:$E$53,0))</f>
        <v/>
      </c>
      <c r="H102" s="50">
        <f>IF($I102="","",$F102*$G102)</f>
        <v/>
      </c>
      <c r="I102" s="51">
        <f>IF($C102="","",IF(COUNTIF('Item Master'!$A$4:$A$53,$C102)&gt;0,$C102,_xlfn.XLOOKUP($C102,'Item Master'!$B$4:$B$53,'Item Master'!$A$4:$A$53,"")))</f>
        <v/>
      </c>
    </row>
    <row r="103" ht="32" customHeight="1">
      <c r="A103" s="47" t="n"/>
      <c r="B103" s="46" t="n"/>
      <c r="C103" s="46" t="n"/>
      <c r="D103" s="46" t="n"/>
      <c r="E103" s="31">
        <f>IF($C103="","",IF($I103="","⚠️ Unknown code",_xlfn.XLOOKUP($I103,'Item Master'!$A$4:$A$53,'Item Master'!$C$4:$C$53,"")))</f>
        <v/>
      </c>
      <c r="F103" s="49" t="n"/>
      <c r="G103" s="36">
        <f>IF($I103="","",_xlfn.XLOOKUP($I103,'Item Master'!$A$4:$A$53,'Item Master'!$E$4:$E$53,0))</f>
        <v/>
      </c>
      <c r="H103" s="50">
        <f>IF($I103="","",$F103*$G103)</f>
        <v/>
      </c>
      <c r="I103" s="51">
        <f>IF($C103="","",IF(COUNTIF('Item Master'!$A$4:$A$53,$C103)&gt;0,$C103,_xlfn.XLOOKUP($C103,'Item Master'!$B$4:$B$53,'Item Master'!$A$4:$A$53,"")))</f>
        <v/>
      </c>
    </row>
    <row r="104" ht="32" customHeight="1">
      <c r="A104" s="47" t="n"/>
      <c r="B104" s="46" t="n"/>
      <c r="C104" s="46" t="n"/>
      <c r="D104" s="46" t="n"/>
      <c r="E104" s="31">
        <f>IF($C104="","",IF($I104="","⚠️ Unknown code",_xlfn.XLOOKUP($I104,'Item Master'!$A$4:$A$53,'Item Master'!$C$4:$C$53,"")))</f>
        <v/>
      </c>
      <c r="F104" s="49" t="n"/>
      <c r="G104" s="36">
        <f>IF($I104="","",_xlfn.XLOOKUP($I104,'Item Master'!$A$4:$A$53,'Item Master'!$E$4:$E$53,0))</f>
        <v/>
      </c>
      <c r="H104" s="50">
        <f>IF($I104="","",$F104*$G104)</f>
        <v/>
      </c>
      <c r="I104" s="51">
        <f>IF($C104="","",IF(COUNTIF('Item Master'!$A$4:$A$53,$C104)&gt;0,$C104,_xlfn.XLOOKUP($C104,'Item Master'!$B$4:$B$53,'Item Master'!$A$4:$A$53,"")))</f>
        <v/>
      </c>
    </row>
    <row r="105" ht="32" customHeight="1">
      <c r="A105" s="47" t="n"/>
      <c r="B105" s="46" t="n"/>
      <c r="C105" s="46" t="n"/>
      <c r="D105" s="46" t="n"/>
      <c r="E105" s="31">
        <f>IF($C105="","",IF($I105="","⚠️ Unknown code",_xlfn.XLOOKUP($I105,'Item Master'!$A$4:$A$53,'Item Master'!$C$4:$C$53,"")))</f>
        <v/>
      </c>
      <c r="F105" s="49" t="n"/>
      <c r="G105" s="36">
        <f>IF($I105="","",_xlfn.XLOOKUP($I105,'Item Master'!$A$4:$A$53,'Item Master'!$E$4:$E$53,0))</f>
        <v/>
      </c>
      <c r="H105" s="50">
        <f>IF($I105="","",$F105*$G105)</f>
        <v/>
      </c>
      <c r="I105" s="51">
        <f>IF($C105="","",IF(COUNTIF('Item Master'!$A$4:$A$53,$C105)&gt;0,$C105,_xlfn.XLOOKUP($C105,'Item Master'!$B$4:$B$53,'Item Master'!$A$4:$A$53,"")))</f>
        <v/>
      </c>
    </row>
    <row r="106" ht="32" customHeight="1">
      <c r="A106" s="47" t="n"/>
      <c r="B106" s="46" t="n"/>
      <c r="C106" s="46" t="n"/>
      <c r="D106" s="46" t="n"/>
      <c r="E106" s="31">
        <f>IF($C106="","",IF($I106="","⚠️ Unknown code",_xlfn.XLOOKUP($I106,'Item Master'!$A$4:$A$53,'Item Master'!$C$4:$C$53,"")))</f>
        <v/>
      </c>
      <c r="F106" s="49" t="n"/>
      <c r="G106" s="36">
        <f>IF($I106="","",_xlfn.XLOOKUP($I106,'Item Master'!$A$4:$A$53,'Item Master'!$E$4:$E$53,0))</f>
        <v/>
      </c>
      <c r="H106" s="50">
        <f>IF($I106="","",$F106*$G106)</f>
        <v/>
      </c>
      <c r="I106" s="51">
        <f>IF($C106="","",IF(COUNTIF('Item Master'!$A$4:$A$53,$C106)&gt;0,$C106,_xlfn.XLOOKUP($C106,'Item Master'!$B$4:$B$53,'Item Master'!$A$4:$A$53,"")))</f>
        <v/>
      </c>
    </row>
    <row r="107" ht="32" customHeight="1">
      <c r="A107" s="47" t="n"/>
      <c r="B107" s="46" t="n"/>
      <c r="C107" s="46" t="n"/>
      <c r="D107" s="46" t="n"/>
      <c r="E107" s="31">
        <f>IF($C107="","",IF($I107="","⚠️ Unknown code",_xlfn.XLOOKUP($I107,'Item Master'!$A$4:$A$53,'Item Master'!$C$4:$C$53,"")))</f>
        <v/>
      </c>
      <c r="F107" s="49" t="n"/>
      <c r="G107" s="36">
        <f>IF($I107="","",_xlfn.XLOOKUP($I107,'Item Master'!$A$4:$A$53,'Item Master'!$E$4:$E$53,0))</f>
        <v/>
      </c>
      <c r="H107" s="50">
        <f>IF($I107="","",$F107*$G107)</f>
        <v/>
      </c>
      <c r="I107" s="51">
        <f>IF($C107="","",IF(COUNTIF('Item Master'!$A$4:$A$53,$C107)&gt;0,$C107,_xlfn.XLOOKUP($C107,'Item Master'!$B$4:$B$53,'Item Master'!$A$4:$A$53,"")))</f>
        <v/>
      </c>
    </row>
    <row r="108" ht="32" customHeight="1">
      <c r="A108" s="47" t="n"/>
      <c r="B108" s="46" t="n"/>
      <c r="C108" s="46" t="n"/>
      <c r="D108" s="46" t="n"/>
      <c r="E108" s="31">
        <f>IF($C108="","",IF($I108="","⚠️ Unknown code",_xlfn.XLOOKUP($I108,'Item Master'!$A$4:$A$53,'Item Master'!$C$4:$C$53,"")))</f>
        <v/>
      </c>
      <c r="F108" s="49" t="n"/>
      <c r="G108" s="36">
        <f>IF($I108="","",_xlfn.XLOOKUP($I108,'Item Master'!$A$4:$A$53,'Item Master'!$E$4:$E$53,0))</f>
        <v/>
      </c>
      <c r="H108" s="50">
        <f>IF($I108="","",$F108*$G108)</f>
        <v/>
      </c>
      <c r="I108" s="51">
        <f>IF($C108="","",IF(COUNTIF('Item Master'!$A$4:$A$53,$C108)&gt;0,$C108,_xlfn.XLOOKUP($C108,'Item Master'!$B$4:$B$53,'Item Master'!$A$4:$A$53,"")))</f>
        <v/>
      </c>
    </row>
    <row r="109" ht="32" customHeight="1">
      <c r="A109" s="47" t="n"/>
      <c r="B109" s="46" t="n"/>
      <c r="C109" s="46" t="n"/>
      <c r="D109" s="46" t="n"/>
      <c r="E109" s="31">
        <f>IF($C109="","",IF($I109="","⚠️ Unknown code",_xlfn.XLOOKUP($I109,'Item Master'!$A$4:$A$53,'Item Master'!$C$4:$C$53,"")))</f>
        <v/>
      </c>
      <c r="F109" s="49" t="n"/>
      <c r="G109" s="36">
        <f>IF($I109="","",_xlfn.XLOOKUP($I109,'Item Master'!$A$4:$A$53,'Item Master'!$E$4:$E$53,0))</f>
        <v/>
      </c>
      <c r="H109" s="50">
        <f>IF($I109="","",$F109*$G109)</f>
        <v/>
      </c>
      <c r="I109" s="51">
        <f>IF($C109="","",IF(COUNTIF('Item Master'!$A$4:$A$53,$C109)&gt;0,$C109,_xlfn.XLOOKUP($C109,'Item Master'!$B$4:$B$53,'Item Master'!$A$4:$A$53,"")))</f>
        <v/>
      </c>
    </row>
    <row r="110" ht="32" customHeight="1">
      <c r="A110" s="47" t="n"/>
      <c r="B110" s="46" t="n"/>
      <c r="C110" s="46" t="n"/>
      <c r="D110" s="46" t="n"/>
      <c r="E110" s="31">
        <f>IF($C110="","",IF($I110="","⚠️ Unknown code",_xlfn.XLOOKUP($I110,'Item Master'!$A$4:$A$53,'Item Master'!$C$4:$C$53,"")))</f>
        <v/>
      </c>
      <c r="F110" s="49" t="n"/>
      <c r="G110" s="36">
        <f>IF($I110="","",_xlfn.XLOOKUP($I110,'Item Master'!$A$4:$A$53,'Item Master'!$E$4:$E$53,0))</f>
        <v/>
      </c>
      <c r="H110" s="50">
        <f>IF($I110="","",$F110*$G110)</f>
        <v/>
      </c>
      <c r="I110" s="51">
        <f>IF($C110="","",IF(COUNTIF('Item Master'!$A$4:$A$53,$C110)&gt;0,$C110,_xlfn.XLOOKUP($C110,'Item Master'!$B$4:$B$53,'Item Master'!$A$4:$A$53,"")))</f>
        <v/>
      </c>
    </row>
    <row r="111" ht="32" customHeight="1">
      <c r="A111" s="47" t="n"/>
      <c r="B111" s="46" t="n"/>
      <c r="C111" s="46" t="n"/>
      <c r="D111" s="46" t="n"/>
      <c r="E111" s="31">
        <f>IF($C111="","",IF($I111="","⚠️ Unknown code",_xlfn.XLOOKUP($I111,'Item Master'!$A$4:$A$53,'Item Master'!$C$4:$C$53,"")))</f>
        <v/>
      </c>
      <c r="F111" s="49" t="n"/>
      <c r="G111" s="36">
        <f>IF($I111="","",_xlfn.XLOOKUP($I111,'Item Master'!$A$4:$A$53,'Item Master'!$E$4:$E$53,0))</f>
        <v/>
      </c>
      <c r="H111" s="50">
        <f>IF($I111="","",$F111*$G111)</f>
        <v/>
      </c>
      <c r="I111" s="51">
        <f>IF($C111="","",IF(COUNTIF('Item Master'!$A$4:$A$53,$C111)&gt;0,$C111,_xlfn.XLOOKUP($C111,'Item Master'!$B$4:$B$53,'Item Master'!$A$4:$A$53,"")))</f>
        <v/>
      </c>
    </row>
    <row r="112" ht="32" customHeight="1">
      <c r="A112" s="47" t="n"/>
      <c r="B112" s="46" t="n"/>
      <c r="C112" s="46" t="n"/>
      <c r="D112" s="46" t="n"/>
      <c r="E112" s="31">
        <f>IF($C112="","",IF($I112="","⚠️ Unknown code",_xlfn.XLOOKUP($I112,'Item Master'!$A$4:$A$53,'Item Master'!$C$4:$C$53,"")))</f>
        <v/>
      </c>
      <c r="F112" s="49" t="n"/>
      <c r="G112" s="36">
        <f>IF($I112="","",_xlfn.XLOOKUP($I112,'Item Master'!$A$4:$A$53,'Item Master'!$E$4:$E$53,0))</f>
        <v/>
      </c>
      <c r="H112" s="50">
        <f>IF($I112="","",$F112*$G112)</f>
        <v/>
      </c>
      <c r="I112" s="51">
        <f>IF($C112="","",IF(COUNTIF('Item Master'!$A$4:$A$53,$C112)&gt;0,$C112,_xlfn.XLOOKUP($C112,'Item Master'!$B$4:$B$53,'Item Master'!$A$4:$A$53,"")))</f>
        <v/>
      </c>
    </row>
    <row r="113" ht="32" customHeight="1">
      <c r="A113" s="47" t="n"/>
      <c r="B113" s="46" t="n"/>
      <c r="C113" s="46" t="n"/>
      <c r="D113" s="46" t="n"/>
      <c r="E113" s="31">
        <f>IF($C113="","",IF($I113="","⚠️ Unknown code",_xlfn.XLOOKUP($I113,'Item Master'!$A$4:$A$53,'Item Master'!$C$4:$C$53,"")))</f>
        <v/>
      </c>
      <c r="F113" s="49" t="n"/>
      <c r="G113" s="36">
        <f>IF($I113="","",_xlfn.XLOOKUP($I113,'Item Master'!$A$4:$A$53,'Item Master'!$E$4:$E$53,0))</f>
        <v/>
      </c>
      <c r="H113" s="50">
        <f>IF($I113="","",$F113*$G113)</f>
        <v/>
      </c>
      <c r="I113" s="51">
        <f>IF($C113="","",IF(COUNTIF('Item Master'!$A$4:$A$53,$C113)&gt;0,$C113,_xlfn.XLOOKUP($C113,'Item Master'!$B$4:$B$53,'Item Master'!$A$4:$A$53,"")))</f>
        <v/>
      </c>
    </row>
    <row r="114" ht="32" customHeight="1">
      <c r="A114" s="47" t="n"/>
      <c r="B114" s="46" t="n"/>
      <c r="C114" s="46" t="n"/>
      <c r="D114" s="46" t="n"/>
      <c r="E114" s="31">
        <f>IF($C114="","",IF($I114="","⚠️ Unknown code",_xlfn.XLOOKUP($I114,'Item Master'!$A$4:$A$53,'Item Master'!$C$4:$C$53,"")))</f>
        <v/>
      </c>
      <c r="F114" s="49" t="n"/>
      <c r="G114" s="36">
        <f>IF($I114="","",_xlfn.XLOOKUP($I114,'Item Master'!$A$4:$A$53,'Item Master'!$E$4:$E$53,0))</f>
        <v/>
      </c>
      <c r="H114" s="50">
        <f>IF($I114="","",$F114*$G114)</f>
        <v/>
      </c>
      <c r="I114" s="51">
        <f>IF($C114="","",IF(COUNTIF('Item Master'!$A$4:$A$53,$C114)&gt;0,$C114,_xlfn.XLOOKUP($C114,'Item Master'!$B$4:$B$53,'Item Master'!$A$4:$A$53,"")))</f>
        <v/>
      </c>
    </row>
    <row r="115" ht="32" customHeight="1">
      <c r="A115" s="47" t="n"/>
      <c r="B115" s="46" t="n"/>
      <c r="C115" s="46" t="n"/>
      <c r="D115" s="46" t="n"/>
      <c r="E115" s="31">
        <f>IF($C115="","",IF($I115="","⚠️ Unknown code",_xlfn.XLOOKUP($I115,'Item Master'!$A$4:$A$53,'Item Master'!$C$4:$C$53,"")))</f>
        <v/>
      </c>
      <c r="F115" s="49" t="n"/>
      <c r="G115" s="36">
        <f>IF($I115="","",_xlfn.XLOOKUP($I115,'Item Master'!$A$4:$A$53,'Item Master'!$E$4:$E$53,0))</f>
        <v/>
      </c>
      <c r="H115" s="50">
        <f>IF($I115="","",$F115*$G115)</f>
        <v/>
      </c>
      <c r="I115" s="51">
        <f>IF($C115="","",IF(COUNTIF('Item Master'!$A$4:$A$53,$C115)&gt;0,$C115,_xlfn.XLOOKUP($C115,'Item Master'!$B$4:$B$53,'Item Master'!$A$4:$A$53,"")))</f>
        <v/>
      </c>
    </row>
    <row r="116" ht="32" customHeight="1">
      <c r="A116" s="47" t="n"/>
      <c r="B116" s="46" t="n"/>
      <c r="C116" s="46" t="n"/>
      <c r="D116" s="46" t="n"/>
      <c r="E116" s="31">
        <f>IF($C116="","",IF($I116="","⚠️ Unknown code",_xlfn.XLOOKUP($I116,'Item Master'!$A$4:$A$53,'Item Master'!$C$4:$C$53,"")))</f>
        <v/>
      </c>
      <c r="F116" s="49" t="n"/>
      <c r="G116" s="36">
        <f>IF($I116="","",_xlfn.XLOOKUP($I116,'Item Master'!$A$4:$A$53,'Item Master'!$E$4:$E$53,0))</f>
        <v/>
      </c>
      <c r="H116" s="50">
        <f>IF($I116="","",$F116*$G116)</f>
        <v/>
      </c>
      <c r="I116" s="51">
        <f>IF($C116="","",IF(COUNTIF('Item Master'!$A$4:$A$53,$C116)&gt;0,$C116,_xlfn.XLOOKUP($C116,'Item Master'!$B$4:$B$53,'Item Master'!$A$4:$A$53,"")))</f>
        <v/>
      </c>
    </row>
    <row r="117" ht="32" customHeight="1">
      <c r="A117" s="47" t="n"/>
      <c r="B117" s="46" t="n"/>
      <c r="C117" s="46" t="n"/>
      <c r="D117" s="46" t="n"/>
      <c r="E117" s="31">
        <f>IF($C117="","",IF($I117="","⚠️ Unknown code",_xlfn.XLOOKUP($I117,'Item Master'!$A$4:$A$53,'Item Master'!$C$4:$C$53,"")))</f>
        <v/>
      </c>
      <c r="F117" s="49" t="n"/>
      <c r="G117" s="36">
        <f>IF($I117="","",_xlfn.XLOOKUP($I117,'Item Master'!$A$4:$A$53,'Item Master'!$E$4:$E$53,0))</f>
        <v/>
      </c>
      <c r="H117" s="50">
        <f>IF($I117="","",$F117*$G117)</f>
        <v/>
      </c>
      <c r="I117" s="51">
        <f>IF($C117="","",IF(COUNTIF('Item Master'!$A$4:$A$53,$C117)&gt;0,$C117,_xlfn.XLOOKUP($C117,'Item Master'!$B$4:$B$53,'Item Master'!$A$4:$A$53,"")))</f>
        <v/>
      </c>
    </row>
    <row r="118" ht="32" customHeight="1">
      <c r="A118" s="47" t="n"/>
      <c r="B118" s="46" t="n"/>
      <c r="C118" s="46" t="n"/>
      <c r="D118" s="46" t="n"/>
      <c r="E118" s="31">
        <f>IF($C118="","",IF($I118="","⚠️ Unknown code",_xlfn.XLOOKUP($I118,'Item Master'!$A$4:$A$53,'Item Master'!$C$4:$C$53,"")))</f>
        <v/>
      </c>
      <c r="F118" s="49" t="n"/>
      <c r="G118" s="36">
        <f>IF($I118="","",_xlfn.XLOOKUP($I118,'Item Master'!$A$4:$A$53,'Item Master'!$E$4:$E$53,0))</f>
        <v/>
      </c>
      <c r="H118" s="50">
        <f>IF($I118="","",$F118*$G118)</f>
        <v/>
      </c>
      <c r="I118" s="51">
        <f>IF($C118="","",IF(COUNTIF('Item Master'!$A$4:$A$53,$C118)&gt;0,$C118,_xlfn.XLOOKUP($C118,'Item Master'!$B$4:$B$53,'Item Master'!$A$4:$A$53,"")))</f>
        <v/>
      </c>
    </row>
    <row r="119" ht="32" customHeight="1">
      <c r="A119" s="47" t="n"/>
      <c r="B119" s="46" t="n"/>
      <c r="C119" s="46" t="n"/>
      <c r="D119" s="46" t="n"/>
      <c r="E119" s="31">
        <f>IF($C119="","",IF($I119="","⚠️ Unknown code",_xlfn.XLOOKUP($I119,'Item Master'!$A$4:$A$53,'Item Master'!$C$4:$C$53,"")))</f>
        <v/>
      </c>
      <c r="F119" s="49" t="n"/>
      <c r="G119" s="36">
        <f>IF($I119="","",_xlfn.XLOOKUP($I119,'Item Master'!$A$4:$A$53,'Item Master'!$E$4:$E$53,0))</f>
        <v/>
      </c>
      <c r="H119" s="50">
        <f>IF($I119="","",$F119*$G119)</f>
        <v/>
      </c>
      <c r="I119" s="51">
        <f>IF($C119="","",IF(COUNTIF('Item Master'!$A$4:$A$53,$C119)&gt;0,$C119,_xlfn.XLOOKUP($C119,'Item Master'!$B$4:$B$53,'Item Master'!$A$4:$A$53,"")))</f>
        <v/>
      </c>
    </row>
    <row r="120" ht="32" customHeight="1">
      <c r="A120" s="47" t="n"/>
      <c r="B120" s="46" t="n"/>
      <c r="C120" s="46" t="n"/>
      <c r="D120" s="46" t="n"/>
      <c r="E120" s="31">
        <f>IF($C120="","",IF($I120="","⚠️ Unknown code",_xlfn.XLOOKUP($I120,'Item Master'!$A$4:$A$53,'Item Master'!$C$4:$C$53,"")))</f>
        <v/>
      </c>
      <c r="F120" s="49" t="n"/>
      <c r="G120" s="36">
        <f>IF($I120="","",_xlfn.XLOOKUP($I120,'Item Master'!$A$4:$A$53,'Item Master'!$E$4:$E$53,0))</f>
        <v/>
      </c>
      <c r="H120" s="50">
        <f>IF($I120="","",$F120*$G120)</f>
        <v/>
      </c>
      <c r="I120" s="51">
        <f>IF($C120="","",IF(COUNTIF('Item Master'!$A$4:$A$53,$C120)&gt;0,$C120,_xlfn.XLOOKUP($C120,'Item Master'!$B$4:$B$53,'Item Master'!$A$4:$A$53,"")))</f>
        <v/>
      </c>
    </row>
    <row r="121" ht="32" customHeight="1">
      <c r="A121" s="47" t="n"/>
      <c r="B121" s="46" t="n"/>
      <c r="C121" s="46" t="n"/>
      <c r="D121" s="46" t="n"/>
      <c r="E121" s="31">
        <f>IF($C121="","",IF($I121="","⚠️ Unknown code",_xlfn.XLOOKUP($I121,'Item Master'!$A$4:$A$53,'Item Master'!$C$4:$C$53,"")))</f>
        <v/>
      </c>
      <c r="F121" s="49" t="n"/>
      <c r="G121" s="36">
        <f>IF($I121="","",_xlfn.XLOOKUP($I121,'Item Master'!$A$4:$A$53,'Item Master'!$E$4:$E$53,0))</f>
        <v/>
      </c>
      <c r="H121" s="50">
        <f>IF($I121="","",$F121*$G121)</f>
        <v/>
      </c>
      <c r="I121" s="51">
        <f>IF($C121="","",IF(COUNTIF('Item Master'!$A$4:$A$53,$C121)&gt;0,$C121,_xlfn.XLOOKUP($C121,'Item Master'!$B$4:$B$53,'Item Master'!$A$4:$A$53,"")))</f>
        <v/>
      </c>
    </row>
    <row r="122" ht="32" customHeight="1">
      <c r="A122" s="47" t="n"/>
      <c r="B122" s="46" t="n"/>
      <c r="C122" s="46" t="n"/>
      <c r="D122" s="46" t="n"/>
      <c r="E122" s="31">
        <f>IF($C122="","",IF($I122="","⚠️ Unknown code",_xlfn.XLOOKUP($I122,'Item Master'!$A$4:$A$53,'Item Master'!$C$4:$C$53,"")))</f>
        <v/>
      </c>
      <c r="F122" s="49" t="n"/>
      <c r="G122" s="36">
        <f>IF($I122="","",_xlfn.XLOOKUP($I122,'Item Master'!$A$4:$A$53,'Item Master'!$E$4:$E$53,0))</f>
        <v/>
      </c>
      <c r="H122" s="50">
        <f>IF($I122="","",$F122*$G122)</f>
        <v/>
      </c>
      <c r="I122" s="51">
        <f>IF($C122="","",IF(COUNTIF('Item Master'!$A$4:$A$53,$C122)&gt;0,$C122,_xlfn.XLOOKUP($C122,'Item Master'!$B$4:$B$53,'Item Master'!$A$4:$A$53,"")))</f>
        <v/>
      </c>
    </row>
    <row r="123" ht="32" customHeight="1">
      <c r="A123" s="47" t="n"/>
      <c r="B123" s="46" t="n"/>
      <c r="C123" s="46" t="n"/>
      <c r="D123" s="46" t="n"/>
      <c r="E123" s="31">
        <f>IF($C123="","",IF($I123="","⚠️ Unknown code",_xlfn.XLOOKUP($I123,'Item Master'!$A$4:$A$53,'Item Master'!$C$4:$C$53,"")))</f>
        <v/>
      </c>
      <c r="F123" s="49" t="n"/>
      <c r="G123" s="36">
        <f>IF($I123="","",_xlfn.XLOOKUP($I123,'Item Master'!$A$4:$A$53,'Item Master'!$E$4:$E$53,0))</f>
        <v/>
      </c>
      <c r="H123" s="50">
        <f>IF($I123="","",$F123*$G123)</f>
        <v/>
      </c>
      <c r="I123" s="51">
        <f>IF($C123="","",IF(COUNTIF('Item Master'!$A$4:$A$53,$C123)&gt;0,$C123,_xlfn.XLOOKUP($C123,'Item Master'!$B$4:$B$53,'Item Master'!$A$4:$A$53,"")))</f>
        <v/>
      </c>
    </row>
    <row r="124" ht="32" customHeight="1">
      <c r="A124" s="47" t="n"/>
      <c r="B124" s="46" t="n"/>
      <c r="C124" s="46" t="n"/>
      <c r="D124" s="46" t="n"/>
      <c r="E124" s="31">
        <f>IF($C124="","",IF($I124="","⚠️ Unknown code",_xlfn.XLOOKUP($I124,'Item Master'!$A$4:$A$53,'Item Master'!$C$4:$C$53,"")))</f>
        <v/>
      </c>
      <c r="F124" s="49" t="n"/>
      <c r="G124" s="36">
        <f>IF($I124="","",_xlfn.XLOOKUP($I124,'Item Master'!$A$4:$A$53,'Item Master'!$E$4:$E$53,0))</f>
        <v/>
      </c>
      <c r="H124" s="50">
        <f>IF($I124="","",$F124*$G124)</f>
        <v/>
      </c>
      <c r="I124" s="51">
        <f>IF($C124="","",IF(COUNTIF('Item Master'!$A$4:$A$53,$C124)&gt;0,$C124,_xlfn.XLOOKUP($C124,'Item Master'!$B$4:$B$53,'Item Master'!$A$4:$A$53,"")))</f>
        <v/>
      </c>
    </row>
    <row r="125" ht="32" customHeight="1">
      <c r="A125" s="47" t="n"/>
      <c r="B125" s="46" t="n"/>
      <c r="C125" s="46" t="n"/>
      <c r="D125" s="46" t="n"/>
      <c r="E125" s="31">
        <f>IF($C125="","",IF($I125="","⚠️ Unknown code",_xlfn.XLOOKUP($I125,'Item Master'!$A$4:$A$53,'Item Master'!$C$4:$C$53,"")))</f>
        <v/>
      </c>
      <c r="F125" s="49" t="n"/>
      <c r="G125" s="36">
        <f>IF($I125="","",_xlfn.XLOOKUP($I125,'Item Master'!$A$4:$A$53,'Item Master'!$E$4:$E$53,0))</f>
        <v/>
      </c>
      <c r="H125" s="50">
        <f>IF($I125="","",$F125*$G125)</f>
        <v/>
      </c>
      <c r="I125" s="51">
        <f>IF($C125="","",IF(COUNTIF('Item Master'!$A$4:$A$53,$C125)&gt;0,$C125,_xlfn.XLOOKUP($C125,'Item Master'!$B$4:$B$53,'Item Master'!$A$4:$A$53,"")))</f>
        <v/>
      </c>
    </row>
    <row r="126" ht="32" customHeight="1">
      <c r="A126" s="47" t="n"/>
      <c r="B126" s="46" t="n"/>
      <c r="C126" s="46" t="n"/>
      <c r="D126" s="46" t="n"/>
      <c r="E126" s="31">
        <f>IF($C126="","",IF($I126="","⚠️ Unknown code",_xlfn.XLOOKUP($I126,'Item Master'!$A$4:$A$53,'Item Master'!$C$4:$C$53,"")))</f>
        <v/>
      </c>
      <c r="F126" s="49" t="n"/>
      <c r="G126" s="36">
        <f>IF($I126="","",_xlfn.XLOOKUP($I126,'Item Master'!$A$4:$A$53,'Item Master'!$E$4:$E$53,0))</f>
        <v/>
      </c>
      <c r="H126" s="50">
        <f>IF($I126="","",$F126*$G126)</f>
        <v/>
      </c>
      <c r="I126" s="51">
        <f>IF($C126="","",IF(COUNTIF('Item Master'!$A$4:$A$53,$C126)&gt;0,$C126,_xlfn.XLOOKUP($C126,'Item Master'!$B$4:$B$53,'Item Master'!$A$4:$A$53,"")))</f>
        <v/>
      </c>
    </row>
    <row r="127" ht="32" customHeight="1">
      <c r="A127" s="47" t="n"/>
      <c r="B127" s="46" t="n"/>
      <c r="C127" s="46" t="n"/>
      <c r="D127" s="46" t="n"/>
      <c r="E127" s="31">
        <f>IF($C127="","",IF($I127="","⚠️ Unknown code",_xlfn.XLOOKUP($I127,'Item Master'!$A$4:$A$53,'Item Master'!$C$4:$C$53,"")))</f>
        <v/>
      </c>
      <c r="F127" s="49" t="n"/>
      <c r="G127" s="36">
        <f>IF($I127="","",_xlfn.XLOOKUP($I127,'Item Master'!$A$4:$A$53,'Item Master'!$E$4:$E$53,0))</f>
        <v/>
      </c>
      <c r="H127" s="50">
        <f>IF($I127="","",$F127*$G127)</f>
        <v/>
      </c>
      <c r="I127" s="51">
        <f>IF($C127="","",IF(COUNTIF('Item Master'!$A$4:$A$53,$C127)&gt;0,$C127,_xlfn.XLOOKUP($C127,'Item Master'!$B$4:$B$53,'Item Master'!$A$4:$A$53,"")))</f>
        <v/>
      </c>
    </row>
    <row r="128" ht="32" customHeight="1">
      <c r="A128" s="47" t="n"/>
      <c r="B128" s="46" t="n"/>
      <c r="C128" s="46" t="n"/>
      <c r="D128" s="46" t="n"/>
      <c r="E128" s="31">
        <f>IF($C128="","",IF($I128="","⚠️ Unknown code",_xlfn.XLOOKUP($I128,'Item Master'!$A$4:$A$53,'Item Master'!$C$4:$C$53,"")))</f>
        <v/>
      </c>
      <c r="F128" s="49" t="n"/>
      <c r="G128" s="36">
        <f>IF($I128="","",_xlfn.XLOOKUP($I128,'Item Master'!$A$4:$A$53,'Item Master'!$E$4:$E$53,0))</f>
        <v/>
      </c>
      <c r="H128" s="50">
        <f>IF($I128="","",$F128*$G128)</f>
        <v/>
      </c>
      <c r="I128" s="51">
        <f>IF($C128="","",IF(COUNTIF('Item Master'!$A$4:$A$53,$C128)&gt;0,$C128,_xlfn.XLOOKUP($C128,'Item Master'!$B$4:$B$53,'Item Master'!$A$4:$A$53,"")))</f>
        <v/>
      </c>
    </row>
    <row r="129" ht="32" customHeight="1">
      <c r="A129" s="47" t="n"/>
      <c r="B129" s="46" t="n"/>
      <c r="C129" s="46" t="n"/>
      <c r="D129" s="46" t="n"/>
      <c r="E129" s="31">
        <f>IF($C129="","",IF($I129="","⚠️ Unknown code",_xlfn.XLOOKUP($I129,'Item Master'!$A$4:$A$53,'Item Master'!$C$4:$C$53,"")))</f>
        <v/>
      </c>
      <c r="F129" s="49" t="n"/>
      <c r="G129" s="36">
        <f>IF($I129="","",_xlfn.XLOOKUP($I129,'Item Master'!$A$4:$A$53,'Item Master'!$E$4:$E$53,0))</f>
        <v/>
      </c>
      <c r="H129" s="50">
        <f>IF($I129="","",$F129*$G129)</f>
        <v/>
      </c>
      <c r="I129" s="51">
        <f>IF($C129="","",IF(COUNTIF('Item Master'!$A$4:$A$53,$C129)&gt;0,$C129,_xlfn.XLOOKUP($C129,'Item Master'!$B$4:$B$53,'Item Master'!$A$4:$A$53,"")))</f>
        <v/>
      </c>
    </row>
    <row r="130" ht="32" customHeight="1">
      <c r="A130" s="47" t="n"/>
      <c r="B130" s="46" t="n"/>
      <c r="C130" s="46" t="n"/>
      <c r="D130" s="46" t="n"/>
      <c r="E130" s="31">
        <f>IF($C130="","",IF($I130="","⚠️ Unknown code",_xlfn.XLOOKUP($I130,'Item Master'!$A$4:$A$53,'Item Master'!$C$4:$C$53,"")))</f>
        <v/>
      </c>
      <c r="F130" s="49" t="n"/>
      <c r="G130" s="36">
        <f>IF($I130="","",_xlfn.XLOOKUP($I130,'Item Master'!$A$4:$A$53,'Item Master'!$E$4:$E$53,0))</f>
        <v/>
      </c>
      <c r="H130" s="50">
        <f>IF($I130="","",$F130*$G130)</f>
        <v/>
      </c>
      <c r="I130" s="51">
        <f>IF($C130="","",IF(COUNTIF('Item Master'!$A$4:$A$53,$C130)&gt;0,$C130,_xlfn.XLOOKUP($C130,'Item Master'!$B$4:$B$53,'Item Master'!$A$4:$A$53,"")))</f>
        <v/>
      </c>
    </row>
    <row r="131" ht="32" customHeight="1">
      <c r="A131" s="47" t="n"/>
      <c r="B131" s="46" t="n"/>
      <c r="C131" s="46" t="n"/>
      <c r="D131" s="46" t="n"/>
      <c r="E131" s="31">
        <f>IF($C131="","",IF($I131="","⚠️ Unknown code",_xlfn.XLOOKUP($I131,'Item Master'!$A$4:$A$53,'Item Master'!$C$4:$C$53,"")))</f>
        <v/>
      </c>
      <c r="F131" s="49" t="n"/>
      <c r="G131" s="36">
        <f>IF($I131="","",_xlfn.XLOOKUP($I131,'Item Master'!$A$4:$A$53,'Item Master'!$E$4:$E$53,0))</f>
        <v/>
      </c>
      <c r="H131" s="50">
        <f>IF($I131="","",$F131*$G131)</f>
        <v/>
      </c>
      <c r="I131" s="51">
        <f>IF($C131="","",IF(COUNTIF('Item Master'!$A$4:$A$53,$C131)&gt;0,$C131,_xlfn.XLOOKUP($C131,'Item Master'!$B$4:$B$53,'Item Master'!$A$4:$A$53,"")))</f>
        <v/>
      </c>
    </row>
    <row r="132" ht="32" customHeight="1">
      <c r="A132" s="47" t="n"/>
      <c r="B132" s="46" t="n"/>
      <c r="C132" s="46" t="n"/>
      <c r="D132" s="46" t="n"/>
      <c r="E132" s="31">
        <f>IF($C132="","",IF($I132="","⚠️ Unknown code",_xlfn.XLOOKUP($I132,'Item Master'!$A$4:$A$53,'Item Master'!$C$4:$C$53,"")))</f>
        <v/>
      </c>
      <c r="F132" s="49" t="n"/>
      <c r="G132" s="36">
        <f>IF($I132="","",_xlfn.XLOOKUP($I132,'Item Master'!$A$4:$A$53,'Item Master'!$E$4:$E$53,0))</f>
        <v/>
      </c>
      <c r="H132" s="50">
        <f>IF($I132="","",$F132*$G132)</f>
        <v/>
      </c>
      <c r="I132" s="51">
        <f>IF($C132="","",IF(COUNTIF('Item Master'!$A$4:$A$53,$C132)&gt;0,$C132,_xlfn.XLOOKUP($C132,'Item Master'!$B$4:$B$53,'Item Master'!$A$4:$A$53,"")))</f>
        <v/>
      </c>
    </row>
    <row r="133" ht="32" customHeight="1">
      <c r="A133" s="47" t="n"/>
      <c r="B133" s="46" t="n"/>
      <c r="C133" s="46" t="n"/>
      <c r="D133" s="46" t="n"/>
      <c r="E133" s="31">
        <f>IF($C133="","",IF($I133="","⚠️ Unknown code",_xlfn.XLOOKUP($I133,'Item Master'!$A$4:$A$53,'Item Master'!$C$4:$C$53,"")))</f>
        <v/>
      </c>
      <c r="F133" s="49" t="n"/>
      <c r="G133" s="36">
        <f>IF($I133="","",_xlfn.XLOOKUP($I133,'Item Master'!$A$4:$A$53,'Item Master'!$E$4:$E$53,0))</f>
        <v/>
      </c>
      <c r="H133" s="50">
        <f>IF($I133="","",$F133*$G133)</f>
        <v/>
      </c>
      <c r="I133" s="51">
        <f>IF($C133="","",IF(COUNTIF('Item Master'!$A$4:$A$53,$C133)&gt;0,$C133,_xlfn.XLOOKUP($C133,'Item Master'!$B$4:$B$53,'Item Master'!$A$4:$A$53,"")))</f>
        <v/>
      </c>
    </row>
    <row r="134" ht="32" customHeight="1">
      <c r="A134" s="47" t="n"/>
      <c r="B134" s="46" t="n"/>
      <c r="C134" s="46" t="n"/>
      <c r="D134" s="46" t="n"/>
      <c r="E134" s="31">
        <f>IF($C134="","",IF($I134="","⚠️ Unknown code",_xlfn.XLOOKUP($I134,'Item Master'!$A$4:$A$53,'Item Master'!$C$4:$C$53,"")))</f>
        <v/>
      </c>
      <c r="F134" s="49" t="n"/>
      <c r="G134" s="36">
        <f>IF($I134="","",_xlfn.XLOOKUP($I134,'Item Master'!$A$4:$A$53,'Item Master'!$E$4:$E$53,0))</f>
        <v/>
      </c>
      <c r="H134" s="50">
        <f>IF($I134="","",$F134*$G134)</f>
        <v/>
      </c>
      <c r="I134" s="51">
        <f>IF($C134="","",IF(COUNTIF('Item Master'!$A$4:$A$53,$C134)&gt;0,$C134,_xlfn.XLOOKUP($C134,'Item Master'!$B$4:$B$53,'Item Master'!$A$4:$A$53,"")))</f>
        <v/>
      </c>
    </row>
    <row r="135" ht="32" customHeight="1">
      <c r="A135" s="47" t="n"/>
      <c r="B135" s="46" t="n"/>
      <c r="C135" s="46" t="n"/>
      <c r="D135" s="46" t="n"/>
      <c r="E135" s="31">
        <f>IF($C135="","",IF($I135="","⚠️ Unknown code",_xlfn.XLOOKUP($I135,'Item Master'!$A$4:$A$53,'Item Master'!$C$4:$C$53,"")))</f>
        <v/>
      </c>
      <c r="F135" s="49" t="n"/>
      <c r="G135" s="36">
        <f>IF($I135="","",_xlfn.XLOOKUP($I135,'Item Master'!$A$4:$A$53,'Item Master'!$E$4:$E$53,0))</f>
        <v/>
      </c>
      <c r="H135" s="50">
        <f>IF($I135="","",$F135*$G135)</f>
        <v/>
      </c>
      <c r="I135" s="51">
        <f>IF($C135="","",IF(COUNTIF('Item Master'!$A$4:$A$53,$C135)&gt;0,$C135,_xlfn.XLOOKUP($C135,'Item Master'!$B$4:$B$53,'Item Master'!$A$4:$A$53,"")))</f>
        <v/>
      </c>
    </row>
    <row r="136" ht="32" customHeight="1">
      <c r="A136" s="47" t="n"/>
      <c r="B136" s="46" t="n"/>
      <c r="C136" s="46" t="n"/>
      <c r="D136" s="46" t="n"/>
      <c r="E136" s="31">
        <f>IF($C136="","",IF($I136="","⚠️ Unknown code",_xlfn.XLOOKUP($I136,'Item Master'!$A$4:$A$53,'Item Master'!$C$4:$C$53,"")))</f>
        <v/>
      </c>
      <c r="F136" s="49" t="n"/>
      <c r="G136" s="36">
        <f>IF($I136="","",_xlfn.XLOOKUP($I136,'Item Master'!$A$4:$A$53,'Item Master'!$E$4:$E$53,0))</f>
        <v/>
      </c>
      <c r="H136" s="50">
        <f>IF($I136="","",$F136*$G136)</f>
        <v/>
      </c>
      <c r="I136" s="51">
        <f>IF($C136="","",IF(COUNTIF('Item Master'!$A$4:$A$53,$C136)&gt;0,$C136,_xlfn.XLOOKUP($C136,'Item Master'!$B$4:$B$53,'Item Master'!$A$4:$A$53,"")))</f>
        <v/>
      </c>
    </row>
    <row r="137" ht="32" customHeight="1">
      <c r="A137" s="47" t="n"/>
      <c r="B137" s="46" t="n"/>
      <c r="C137" s="46" t="n"/>
      <c r="D137" s="46" t="n"/>
      <c r="E137" s="31">
        <f>IF($C137="","",IF($I137="","⚠️ Unknown code",_xlfn.XLOOKUP($I137,'Item Master'!$A$4:$A$53,'Item Master'!$C$4:$C$53,"")))</f>
        <v/>
      </c>
      <c r="F137" s="49" t="n"/>
      <c r="G137" s="36">
        <f>IF($I137="","",_xlfn.XLOOKUP($I137,'Item Master'!$A$4:$A$53,'Item Master'!$E$4:$E$53,0))</f>
        <v/>
      </c>
      <c r="H137" s="50">
        <f>IF($I137="","",$F137*$G137)</f>
        <v/>
      </c>
      <c r="I137" s="51">
        <f>IF($C137="","",IF(COUNTIF('Item Master'!$A$4:$A$53,$C137)&gt;0,$C137,_xlfn.XLOOKUP($C137,'Item Master'!$B$4:$B$53,'Item Master'!$A$4:$A$53,"")))</f>
        <v/>
      </c>
    </row>
    <row r="138" ht="32" customHeight="1">
      <c r="A138" s="47" t="n"/>
      <c r="B138" s="46" t="n"/>
      <c r="C138" s="46" t="n"/>
      <c r="D138" s="46" t="n"/>
      <c r="E138" s="31">
        <f>IF($C138="","",IF($I138="","⚠️ Unknown code",_xlfn.XLOOKUP($I138,'Item Master'!$A$4:$A$53,'Item Master'!$C$4:$C$53,"")))</f>
        <v/>
      </c>
      <c r="F138" s="49" t="n"/>
      <c r="G138" s="36">
        <f>IF($I138="","",_xlfn.XLOOKUP($I138,'Item Master'!$A$4:$A$53,'Item Master'!$E$4:$E$53,0))</f>
        <v/>
      </c>
      <c r="H138" s="50">
        <f>IF($I138="","",$F138*$G138)</f>
        <v/>
      </c>
      <c r="I138" s="51">
        <f>IF($C138="","",IF(COUNTIF('Item Master'!$A$4:$A$53,$C138)&gt;0,$C138,_xlfn.XLOOKUP($C138,'Item Master'!$B$4:$B$53,'Item Master'!$A$4:$A$53,"")))</f>
        <v/>
      </c>
    </row>
    <row r="139" ht="32" customHeight="1">
      <c r="A139" s="47" t="n"/>
      <c r="B139" s="46" t="n"/>
      <c r="C139" s="46" t="n"/>
      <c r="D139" s="46" t="n"/>
      <c r="E139" s="31">
        <f>IF($C139="","",IF($I139="","⚠️ Unknown code",_xlfn.XLOOKUP($I139,'Item Master'!$A$4:$A$53,'Item Master'!$C$4:$C$53,"")))</f>
        <v/>
      </c>
      <c r="F139" s="49" t="n"/>
      <c r="G139" s="36">
        <f>IF($I139="","",_xlfn.XLOOKUP($I139,'Item Master'!$A$4:$A$53,'Item Master'!$E$4:$E$53,0))</f>
        <v/>
      </c>
      <c r="H139" s="50">
        <f>IF($I139="","",$F139*$G139)</f>
        <v/>
      </c>
      <c r="I139" s="51">
        <f>IF($C139="","",IF(COUNTIF('Item Master'!$A$4:$A$53,$C139)&gt;0,$C139,_xlfn.XLOOKUP($C139,'Item Master'!$B$4:$B$53,'Item Master'!$A$4:$A$53,"")))</f>
        <v/>
      </c>
    </row>
    <row r="140" ht="32" customHeight="1">
      <c r="A140" s="47" t="n"/>
      <c r="B140" s="46" t="n"/>
      <c r="C140" s="46" t="n"/>
      <c r="D140" s="46" t="n"/>
      <c r="E140" s="31">
        <f>IF($C140="","",IF($I140="","⚠️ Unknown code",_xlfn.XLOOKUP($I140,'Item Master'!$A$4:$A$53,'Item Master'!$C$4:$C$53,"")))</f>
        <v/>
      </c>
      <c r="F140" s="49" t="n"/>
      <c r="G140" s="36">
        <f>IF($I140="","",_xlfn.XLOOKUP($I140,'Item Master'!$A$4:$A$53,'Item Master'!$E$4:$E$53,0))</f>
        <v/>
      </c>
      <c r="H140" s="50">
        <f>IF($I140="","",$F140*$G140)</f>
        <v/>
      </c>
      <c r="I140" s="51">
        <f>IF($C140="","",IF(COUNTIF('Item Master'!$A$4:$A$53,$C140)&gt;0,$C140,_xlfn.XLOOKUP($C140,'Item Master'!$B$4:$B$53,'Item Master'!$A$4:$A$53,"")))</f>
        <v/>
      </c>
    </row>
    <row r="141" ht="32" customHeight="1">
      <c r="A141" s="47" t="n"/>
      <c r="B141" s="46" t="n"/>
      <c r="C141" s="46" t="n"/>
      <c r="D141" s="46" t="n"/>
      <c r="E141" s="31">
        <f>IF($C141="","",IF($I141="","⚠️ Unknown code",_xlfn.XLOOKUP($I141,'Item Master'!$A$4:$A$53,'Item Master'!$C$4:$C$53,"")))</f>
        <v/>
      </c>
      <c r="F141" s="49" t="n"/>
      <c r="G141" s="36">
        <f>IF($I141="","",_xlfn.XLOOKUP($I141,'Item Master'!$A$4:$A$53,'Item Master'!$E$4:$E$53,0))</f>
        <v/>
      </c>
      <c r="H141" s="50">
        <f>IF($I141="","",$F141*$G141)</f>
        <v/>
      </c>
      <c r="I141" s="51">
        <f>IF($C141="","",IF(COUNTIF('Item Master'!$A$4:$A$53,$C141)&gt;0,$C141,_xlfn.XLOOKUP($C141,'Item Master'!$B$4:$B$53,'Item Master'!$A$4:$A$53,"")))</f>
        <v/>
      </c>
    </row>
    <row r="142" ht="32" customHeight="1">
      <c r="A142" s="47" t="n"/>
      <c r="B142" s="46" t="n"/>
      <c r="C142" s="46" t="n"/>
      <c r="D142" s="46" t="n"/>
      <c r="E142" s="31">
        <f>IF($C142="","",IF($I142="","⚠️ Unknown code",_xlfn.XLOOKUP($I142,'Item Master'!$A$4:$A$53,'Item Master'!$C$4:$C$53,"")))</f>
        <v/>
      </c>
      <c r="F142" s="49" t="n"/>
      <c r="G142" s="36">
        <f>IF($I142="","",_xlfn.XLOOKUP($I142,'Item Master'!$A$4:$A$53,'Item Master'!$E$4:$E$53,0))</f>
        <v/>
      </c>
      <c r="H142" s="50">
        <f>IF($I142="","",$F142*$G142)</f>
        <v/>
      </c>
      <c r="I142" s="51">
        <f>IF($C142="","",IF(COUNTIF('Item Master'!$A$4:$A$53,$C142)&gt;0,$C142,_xlfn.XLOOKUP($C142,'Item Master'!$B$4:$B$53,'Item Master'!$A$4:$A$53,"")))</f>
        <v/>
      </c>
    </row>
    <row r="143" ht="32" customHeight="1">
      <c r="A143" s="47" t="n"/>
      <c r="B143" s="46" t="n"/>
      <c r="C143" s="46" t="n"/>
      <c r="D143" s="46" t="n"/>
      <c r="E143" s="31">
        <f>IF($C143="","",IF($I143="","⚠️ Unknown code",_xlfn.XLOOKUP($I143,'Item Master'!$A$4:$A$53,'Item Master'!$C$4:$C$53,"")))</f>
        <v/>
      </c>
      <c r="F143" s="49" t="n"/>
      <c r="G143" s="36">
        <f>IF($I143="","",_xlfn.XLOOKUP($I143,'Item Master'!$A$4:$A$53,'Item Master'!$E$4:$E$53,0))</f>
        <v/>
      </c>
      <c r="H143" s="50">
        <f>IF($I143="","",$F143*$G143)</f>
        <v/>
      </c>
      <c r="I143" s="51">
        <f>IF($C143="","",IF(COUNTIF('Item Master'!$A$4:$A$53,$C143)&gt;0,$C143,_xlfn.XLOOKUP($C143,'Item Master'!$B$4:$B$53,'Item Master'!$A$4:$A$53,"")))</f>
        <v/>
      </c>
    </row>
    <row r="144" ht="32" customHeight="1">
      <c r="A144" s="47" t="n"/>
      <c r="B144" s="46" t="n"/>
      <c r="C144" s="46" t="n"/>
      <c r="D144" s="46" t="n"/>
      <c r="E144" s="31">
        <f>IF($C144="","",IF($I144="","⚠️ Unknown code",_xlfn.XLOOKUP($I144,'Item Master'!$A$4:$A$53,'Item Master'!$C$4:$C$53,"")))</f>
        <v/>
      </c>
      <c r="F144" s="49" t="n"/>
      <c r="G144" s="36">
        <f>IF($I144="","",_xlfn.XLOOKUP($I144,'Item Master'!$A$4:$A$53,'Item Master'!$E$4:$E$53,0))</f>
        <v/>
      </c>
      <c r="H144" s="50">
        <f>IF($I144="","",$F144*$G144)</f>
        <v/>
      </c>
      <c r="I144" s="51">
        <f>IF($C144="","",IF(COUNTIF('Item Master'!$A$4:$A$53,$C144)&gt;0,$C144,_xlfn.XLOOKUP($C144,'Item Master'!$B$4:$B$53,'Item Master'!$A$4:$A$53,"")))</f>
        <v/>
      </c>
    </row>
    <row r="145" ht="32" customHeight="1">
      <c r="A145" s="47" t="n"/>
      <c r="B145" s="46" t="n"/>
      <c r="C145" s="46" t="n"/>
      <c r="D145" s="46" t="n"/>
      <c r="E145" s="31">
        <f>IF($C145="","",IF($I145="","⚠️ Unknown code",_xlfn.XLOOKUP($I145,'Item Master'!$A$4:$A$53,'Item Master'!$C$4:$C$53,"")))</f>
        <v/>
      </c>
      <c r="F145" s="49" t="n"/>
      <c r="G145" s="36">
        <f>IF($I145="","",_xlfn.XLOOKUP($I145,'Item Master'!$A$4:$A$53,'Item Master'!$E$4:$E$53,0))</f>
        <v/>
      </c>
      <c r="H145" s="50">
        <f>IF($I145="","",$F145*$G145)</f>
        <v/>
      </c>
      <c r="I145" s="51">
        <f>IF($C145="","",IF(COUNTIF('Item Master'!$A$4:$A$53,$C145)&gt;0,$C145,_xlfn.XLOOKUP($C145,'Item Master'!$B$4:$B$53,'Item Master'!$A$4:$A$53,"")))</f>
        <v/>
      </c>
    </row>
    <row r="146" ht="32" customHeight="1">
      <c r="A146" s="47" t="n"/>
      <c r="B146" s="46" t="n"/>
      <c r="C146" s="46" t="n"/>
      <c r="D146" s="46" t="n"/>
      <c r="E146" s="31">
        <f>IF($C146="","",IF($I146="","⚠️ Unknown code",_xlfn.XLOOKUP($I146,'Item Master'!$A$4:$A$53,'Item Master'!$C$4:$C$53,"")))</f>
        <v/>
      </c>
      <c r="F146" s="49" t="n"/>
      <c r="G146" s="36">
        <f>IF($I146="","",_xlfn.XLOOKUP($I146,'Item Master'!$A$4:$A$53,'Item Master'!$E$4:$E$53,0))</f>
        <v/>
      </c>
      <c r="H146" s="50">
        <f>IF($I146="","",$F146*$G146)</f>
        <v/>
      </c>
      <c r="I146" s="51">
        <f>IF($C146="","",IF(COUNTIF('Item Master'!$A$4:$A$53,$C146)&gt;0,$C146,_xlfn.XLOOKUP($C146,'Item Master'!$B$4:$B$53,'Item Master'!$A$4:$A$53,"")))</f>
        <v/>
      </c>
    </row>
    <row r="147" ht="32" customHeight="1">
      <c r="A147" s="47" t="n"/>
      <c r="B147" s="46" t="n"/>
      <c r="C147" s="46" t="n"/>
      <c r="D147" s="46" t="n"/>
      <c r="E147" s="31">
        <f>IF($C147="","",IF($I147="","⚠️ Unknown code",_xlfn.XLOOKUP($I147,'Item Master'!$A$4:$A$53,'Item Master'!$C$4:$C$53,"")))</f>
        <v/>
      </c>
      <c r="F147" s="49" t="n"/>
      <c r="G147" s="36">
        <f>IF($I147="","",_xlfn.XLOOKUP($I147,'Item Master'!$A$4:$A$53,'Item Master'!$E$4:$E$53,0))</f>
        <v/>
      </c>
      <c r="H147" s="50">
        <f>IF($I147="","",$F147*$G147)</f>
        <v/>
      </c>
      <c r="I147" s="51">
        <f>IF($C147="","",IF(COUNTIF('Item Master'!$A$4:$A$53,$C147)&gt;0,$C147,_xlfn.XLOOKUP($C147,'Item Master'!$B$4:$B$53,'Item Master'!$A$4:$A$53,"")))</f>
        <v/>
      </c>
    </row>
    <row r="148" ht="32" customHeight="1">
      <c r="A148" s="47" t="n"/>
      <c r="B148" s="46" t="n"/>
      <c r="C148" s="46" t="n"/>
      <c r="D148" s="46" t="n"/>
      <c r="E148" s="31">
        <f>IF($C148="","",IF($I148="","⚠️ Unknown code",_xlfn.XLOOKUP($I148,'Item Master'!$A$4:$A$53,'Item Master'!$C$4:$C$53,"")))</f>
        <v/>
      </c>
      <c r="F148" s="49" t="n"/>
      <c r="G148" s="36">
        <f>IF($I148="","",_xlfn.XLOOKUP($I148,'Item Master'!$A$4:$A$53,'Item Master'!$E$4:$E$53,0))</f>
        <v/>
      </c>
      <c r="H148" s="50">
        <f>IF($I148="","",$F148*$G148)</f>
        <v/>
      </c>
      <c r="I148" s="51">
        <f>IF($C148="","",IF(COUNTIF('Item Master'!$A$4:$A$53,$C148)&gt;0,$C148,_xlfn.XLOOKUP($C148,'Item Master'!$B$4:$B$53,'Item Master'!$A$4:$A$53,"")))</f>
        <v/>
      </c>
    </row>
    <row r="149" ht="32" customHeight="1">
      <c r="A149" s="47" t="n"/>
      <c r="B149" s="46" t="n"/>
      <c r="C149" s="46" t="n"/>
      <c r="D149" s="46" t="n"/>
      <c r="E149" s="31">
        <f>IF($C149="","",IF($I149="","⚠️ Unknown code",_xlfn.XLOOKUP($I149,'Item Master'!$A$4:$A$53,'Item Master'!$C$4:$C$53,"")))</f>
        <v/>
      </c>
      <c r="F149" s="49" t="n"/>
      <c r="G149" s="36">
        <f>IF($I149="","",_xlfn.XLOOKUP($I149,'Item Master'!$A$4:$A$53,'Item Master'!$E$4:$E$53,0))</f>
        <v/>
      </c>
      <c r="H149" s="50">
        <f>IF($I149="","",$F149*$G149)</f>
        <v/>
      </c>
      <c r="I149" s="51">
        <f>IF($C149="","",IF(COUNTIF('Item Master'!$A$4:$A$53,$C149)&gt;0,$C149,_xlfn.XLOOKUP($C149,'Item Master'!$B$4:$B$53,'Item Master'!$A$4:$A$53,"")))</f>
        <v/>
      </c>
    </row>
    <row r="150" ht="32" customHeight="1">
      <c r="A150" s="47" t="n"/>
      <c r="B150" s="46" t="n"/>
      <c r="C150" s="46" t="n"/>
      <c r="D150" s="46" t="n"/>
      <c r="E150" s="31">
        <f>IF($C150="","",IF($I150="","⚠️ Unknown code",_xlfn.XLOOKUP($I150,'Item Master'!$A$4:$A$53,'Item Master'!$C$4:$C$53,"")))</f>
        <v/>
      </c>
      <c r="F150" s="49" t="n"/>
      <c r="G150" s="36">
        <f>IF($I150="","",_xlfn.XLOOKUP($I150,'Item Master'!$A$4:$A$53,'Item Master'!$E$4:$E$53,0))</f>
        <v/>
      </c>
      <c r="H150" s="50">
        <f>IF($I150="","",$F150*$G150)</f>
        <v/>
      </c>
      <c r="I150" s="51">
        <f>IF($C150="","",IF(COUNTIF('Item Master'!$A$4:$A$53,$C150)&gt;0,$C150,_xlfn.XLOOKUP($C150,'Item Master'!$B$4:$B$53,'Item Master'!$A$4:$A$53,"")))</f>
        <v/>
      </c>
    </row>
    <row r="151" ht="32" customHeight="1">
      <c r="A151" s="47" t="n"/>
      <c r="B151" s="46" t="n"/>
      <c r="C151" s="46" t="n"/>
      <c r="D151" s="46" t="n"/>
      <c r="E151" s="31">
        <f>IF($C151="","",IF($I151="","⚠️ Unknown code",_xlfn.XLOOKUP($I151,'Item Master'!$A$4:$A$53,'Item Master'!$C$4:$C$53,"")))</f>
        <v/>
      </c>
      <c r="F151" s="49" t="n"/>
      <c r="G151" s="36">
        <f>IF($I151="","",_xlfn.XLOOKUP($I151,'Item Master'!$A$4:$A$53,'Item Master'!$E$4:$E$53,0))</f>
        <v/>
      </c>
      <c r="H151" s="50">
        <f>IF($I151="","",$F151*$G151)</f>
        <v/>
      </c>
      <c r="I151" s="51">
        <f>IF($C151="","",IF(COUNTIF('Item Master'!$A$4:$A$53,$C151)&gt;0,$C151,_xlfn.XLOOKUP($C151,'Item Master'!$B$4:$B$53,'Item Master'!$A$4:$A$53,"")))</f>
        <v/>
      </c>
    </row>
    <row r="152" ht="32" customHeight="1">
      <c r="A152" s="47" t="n"/>
      <c r="B152" s="46" t="n"/>
      <c r="C152" s="46" t="n"/>
      <c r="D152" s="46" t="n"/>
      <c r="E152" s="31">
        <f>IF($C152="","",IF($I152="","⚠️ Unknown code",_xlfn.XLOOKUP($I152,'Item Master'!$A$4:$A$53,'Item Master'!$C$4:$C$53,"")))</f>
        <v/>
      </c>
      <c r="F152" s="49" t="n"/>
      <c r="G152" s="36">
        <f>IF($I152="","",_xlfn.XLOOKUP($I152,'Item Master'!$A$4:$A$53,'Item Master'!$E$4:$E$53,0))</f>
        <v/>
      </c>
      <c r="H152" s="50">
        <f>IF($I152="","",$F152*$G152)</f>
        <v/>
      </c>
      <c r="I152" s="51">
        <f>IF($C152="","",IF(COUNTIF('Item Master'!$A$4:$A$53,$C152)&gt;0,$C152,_xlfn.XLOOKUP($C152,'Item Master'!$B$4:$B$53,'Item Master'!$A$4:$A$53,"")))</f>
        <v/>
      </c>
    </row>
    <row r="153" ht="32" customHeight="1">
      <c r="A153" s="47" t="n"/>
      <c r="B153" s="46" t="n"/>
      <c r="C153" s="46" t="n"/>
      <c r="D153" s="46" t="n"/>
      <c r="E153" s="31">
        <f>IF($C153="","",IF($I153="","⚠️ Unknown code",_xlfn.XLOOKUP($I153,'Item Master'!$A$4:$A$53,'Item Master'!$C$4:$C$53,"")))</f>
        <v/>
      </c>
      <c r="F153" s="49" t="n"/>
      <c r="G153" s="36">
        <f>IF($I153="","",_xlfn.XLOOKUP($I153,'Item Master'!$A$4:$A$53,'Item Master'!$E$4:$E$53,0))</f>
        <v/>
      </c>
      <c r="H153" s="50">
        <f>IF($I153="","",$F153*$G153)</f>
        <v/>
      </c>
      <c r="I153" s="51">
        <f>IF($C153="","",IF(COUNTIF('Item Master'!$A$4:$A$53,$C153)&gt;0,$C153,_xlfn.XLOOKUP($C153,'Item Master'!$B$4:$B$53,'Item Master'!$A$4:$A$53,"")))</f>
        <v/>
      </c>
    </row>
    <row r="154" ht="32" customHeight="1">
      <c r="A154" s="47" t="n"/>
      <c r="B154" s="46" t="n"/>
      <c r="C154" s="46" t="n"/>
      <c r="D154" s="46" t="n"/>
      <c r="E154" s="31">
        <f>IF($C154="","",IF($I154="","⚠️ Unknown code",_xlfn.XLOOKUP($I154,'Item Master'!$A$4:$A$53,'Item Master'!$C$4:$C$53,"")))</f>
        <v/>
      </c>
      <c r="F154" s="49" t="n"/>
      <c r="G154" s="36">
        <f>IF($I154="","",_xlfn.XLOOKUP($I154,'Item Master'!$A$4:$A$53,'Item Master'!$E$4:$E$53,0))</f>
        <v/>
      </c>
      <c r="H154" s="50">
        <f>IF($I154="","",$F154*$G154)</f>
        <v/>
      </c>
      <c r="I154" s="51">
        <f>IF($C154="","",IF(COUNTIF('Item Master'!$A$4:$A$53,$C154)&gt;0,$C154,_xlfn.XLOOKUP($C154,'Item Master'!$B$4:$B$53,'Item Master'!$A$4:$A$53,"")))</f>
        <v/>
      </c>
    </row>
    <row r="155" ht="32" customHeight="1">
      <c r="A155" s="47" t="n"/>
      <c r="B155" s="46" t="n"/>
      <c r="C155" s="46" t="n"/>
      <c r="D155" s="46" t="n"/>
      <c r="E155" s="31">
        <f>IF($C155="","",IF($I155="","⚠️ Unknown code",_xlfn.XLOOKUP($I155,'Item Master'!$A$4:$A$53,'Item Master'!$C$4:$C$53,"")))</f>
        <v/>
      </c>
      <c r="F155" s="49" t="n"/>
      <c r="G155" s="36">
        <f>IF($I155="","",_xlfn.XLOOKUP($I155,'Item Master'!$A$4:$A$53,'Item Master'!$E$4:$E$53,0))</f>
        <v/>
      </c>
      <c r="H155" s="50">
        <f>IF($I155="","",$F155*$G155)</f>
        <v/>
      </c>
      <c r="I155" s="51">
        <f>IF($C155="","",IF(COUNTIF('Item Master'!$A$4:$A$53,$C155)&gt;0,$C155,_xlfn.XLOOKUP($C155,'Item Master'!$B$4:$B$53,'Item Master'!$A$4:$A$53,"")))</f>
        <v/>
      </c>
    </row>
    <row r="156" ht="32" customHeight="1">
      <c r="A156" s="47" t="n"/>
      <c r="B156" s="46" t="n"/>
      <c r="C156" s="46" t="n"/>
      <c r="D156" s="46" t="n"/>
      <c r="E156" s="31">
        <f>IF($C156="","",IF($I156="","⚠️ Unknown code",_xlfn.XLOOKUP($I156,'Item Master'!$A$4:$A$53,'Item Master'!$C$4:$C$53,"")))</f>
        <v/>
      </c>
      <c r="F156" s="49" t="n"/>
      <c r="G156" s="36">
        <f>IF($I156="","",_xlfn.XLOOKUP($I156,'Item Master'!$A$4:$A$53,'Item Master'!$E$4:$E$53,0))</f>
        <v/>
      </c>
      <c r="H156" s="50">
        <f>IF($I156="","",$F156*$G156)</f>
        <v/>
      </c>
      <c r="I156" s="51">
        <f>IF($C156="","",IF(COUNTIF('Item Master'!$A$4:$A$53,$C156)&gt;0,$C156,_xlfn.XLOOKUP($C156,'Item Master'!$B$4:$B$53,'Item Master'!$A$4:$A$53,"")))</f>
        <v/>
      </c>
    </row>
    <row r="157" ht="32" customHeight="1">
      <c r="A157" s="47" t="n"/>
      <c r="B157" s="46" t="n"/>
      <c r="C157" s="46" t="n"/>
      <c r="D157" s="46" t="n"/>
      <c r="E157" s="31">
        <f>IF($C157="","",IF($I157="","⚠️ Unknown code",_xlfn.XLOOKUP($I157,'Item Master'!$A$4:$A$53,'Item Master'!$C$4:$C$53,"")))</f>
        <v/>
      </c>
      <c r="F157" s="49" t="n"/>
      <c r="G157" s="36">
        <f>IF($I157="","",_xlfn.XLOOKUP($I157,'Item Master'!$A$4:$A$53,'Item Master'!$E$4:$E$53,0))</f>
        <v/>
      </c>
      <c r="H157" s="50">
        <f>IF($I157="","",$F157*$G157)</f>
        <v/>
      </c>
      <c r="I157" s="51">
        <f>IF($C157="","",IF(COUNTIF('Item Master'!$A$4:$A$53,$C157)&gt;0,$C157,_xlfn.XLOOKUP($C157,'Item Master'!$B$4:$B$53,'Item Master'!$A$4:$A$53,"")))</f>
        <v/>
      </c>
    </row>
    <row r="158" ht="32" customHeight="1">
      <c r="A158" s="47" t="n"/>
      <c r="B158" s="46" t="n"/>
      <c r="C158" s="46" t="n"/>
      <c r="D158" s="46" t="n"/>
      <c r="E158" s="31">
        <f>IF($C158="","",IF($I158="","⚠️ Unknown code",_xlfn.XLOOKUP($I158,'Item Master'!$A$4:$A$53,'Item Master'!$C$4:$C$53,"")))</f>
        <v/>
      </c>
      <c r="F158" s="49" t="n"/>
      <c r="G158" s="36">
        <f>IF($I158="","",_xlfn.XLOOKUP($I158,'Item Master'!$A$4:$A$53,'Item Master'!$E$4:$E$53,0))</f>
        <v/>
      </c>
      <c r="H158" s="50">
        <f>IF($I158="","",$F158*$G158)</f>
        <v/>
      </c>
      <c r="I158" s="51">
        <f>IF($C158="","",IF(COUNTIF('Item Master'!$A$4:$A$53,$C158)&gt;0,$C158,_xlfn.XLOOKUP($C158,'Item Master'!$B$4:$B$53,'Item Master'!$A$4:$A$53,"")))</f>
        <v/>
      </c>
    </row>
    <row r="159" ht="32" customHeight="1">
      <c r="A159" s="47" t="n"/>
      <c r="B159" s="46" t="n"/>
      <c r="C159" s="46" t="n"/>
      <c r="D159" s="46" t="n"/>
      <c r="E159" s="31">
        <f>IF($C159="","",IF($I159="","⚠️ Unknown code",_xlfn.XLOOKUP($I159,'Item Master'!$A$4:$A$53,'Item Master'!$C$4:$C$53,"")))</f>
        <v/>
      </c>
      <c r="F159" s="49" t="n"/>
      <c r="G159" s="36">
        <f>IF($I159="","",_xlfn.XLOOKUP($I159,'Item Master'!$A$4:$A$53,'Item Master'!$E$4:$E$53,0))</f>
        <v/>
      </c>
      <c r="H159" s="50">
        <f>IF($I159="","",$F159*$G159)</f>
        <v/>
      </c>
      <c r="I159" s="51">
        <f>IF($C159="","",IF(COUNTIF('Item Master'!$A$4:$A$53,$C159)&gt;0,$C159,_xlfn.XLOOKUP($C159,'Item Master'!$B$4:$B$53,'Item Master'!$A$4:$A$53,"")))</f>
        <v/>
      </c>
    </row>
    <row r="160" ht="32" customHeight="1">
      <c r="A160" s="47" t="n"/>
      <c r="B160" s="46" t="n"/>
      <c r="C160" s="46" t="n"/>
      <c r="D160" s="46" t="n"/>
      <c r="E160" s="31">
        <f>IF($C160="","",IF($I160="","⚠️ Unknown code",_xlfn.XLOOKUP($I160,'Item Master'!$A$4:$A$53,'Item Master'!$C$4:$C$53,"")))</f>
        <v/>
      </c>
      <c r="F160" s="49" t="n"/>
      <c r="G160" s="36">
        <f>IF($I160="","",_xlfn.XLOOKUP($I160,'Item Master'!$A$4:$A$53,'Item Master'!$E$4:$E$53,0))</f>
        <v/>
      </c>
      <c r="H160" s="50">
        <f>IF($I160="","",$F160*$G160)</f>
        <v/>
      </c>
      <c r="I160" s="51">
        <f>IF($C160="","",IF(COUNTIF('Item Master'!$A$4:$A$53,$C160)&gt;0,$C160,_xlfn.XLOOKUP($C160,'Item Master'!$B$4:$B$53,'Item Master'!$A$4:$A$53,"")))</f>
        <v/>
      </c>
    </row>
    <row r="161" ht="32" customHeight="1">
      <c r="A161" s="47" t="n"/>
      <c r="B161" s="46" t="n"/>
      <c r="C161" s="46" t="n"/>
      <c r="D161" s="46" t="n"/>
      <c r="E161" s="31">
        <f>IF($C161="","",IF($I161="","⚠️ Unknown code",_xlfn.XLOOKUP($I161,'Item Master'!$A$4:$A$53,'Item Master'!$C$4:$C$53,"")))</f>
        <v/>
      </c>
      <c r="F161" s="49" t="n"/>
      <c r="G161" s="36">
        <f>IF($I161="","",_xlfn.XLOOKUP($I161,'Item Master'!$A$4:$A$53,'Item Master'!$E$4:$E$53,0))</f>
        <v/>
      </c>
      <c r="H161" s="50">
        <f>IF($I161="","",$F161*$G161)</f>
        <v/>
      </c>
      <c r="I161" s="51">
        <f>IF($C161="","",IF(COUNTIF('Item Master'!$A$4:$A$53,$C161)&gt;0,$C161,_xlfn.XLOOKUP($C161,'Item Master'!$B$4:$B$53,'Item Master'!$A$4:$A$53,"")))</f>
        <v/>
      </c>
    </row>
    <row r="162" ht="32" customHeight="1">
      <c r="A162" s="47" t="n"/>
      <c r="B162" s="46" t="n"/>
      <c r="C162" s="46" t="n"/>
      <c r="D162" s="46" t="n"/>
      <c r="E162" s="31">
        <f>IF($C162="","",IF($I162="","⚠️ Unknown code",_xlfn.XLOOKUP($I162,'Item Master'!$A$4:$A$53,'Item Master'!$C$4:$C$53,"")))</f>
        <v/>
      </c>
      <c r="F162" s="49" t="n"/>
      <c r="G162" s="36">
        <f>IF($I162="","",_xlfn.XLOOKUP($I162,'Item Master'!$A$4:$A$53,'Item Master'!$E$4:$E$53,0))</f>
        <v/>
      </c>
      <c r="H162" s="50">
        <f>IF($I162="","",$F162*$G162)</f>
        <v/>
      </c>
      <c r="I162" s="51">
        <f>IF($C162="","",IF(COUNTIF('Item Master'!$A$4:$A$53,$C162)&gt;0,$C162,_xlfn.XLOOKUP($C162,'Item Master'!$B$4:$B$53,'Item Master'!$A$4:$A$53,"")))</f>
        <v/>
      </c>
    </row>
    <row r="163" ht="32" customHeight="1">
      <c r="A163" s="47" t="n"/>
      <c r="B163" s="46" t="n"/>
      <c r="C163" s="46" t="n"/>
      <c r="D163" s="46" t="n"/>
      <c r="E163" s="31">
        <f>IF($C163="","",IF($I163="","⚠️ Unknown code",_xlfn.XLOOKUP($I163,'Item Master'!$A$4:$A$53,'Item Master'!$C$4:$C$53,"")))</f>
        <v/>
      </c>
      <c r="F163" s="49" t="n"/>
      <c r="G163" s="36">
        <f>IF($I163="","",_xlfn.XLOOKUP($I163,'Item Master'!$A$4:$A$53,'Item Master'!$E$4:$E$53,0))</f>
        <v/>
      </c>
      <c r="H163" s="50">
        <f>IF($I163="","",$F163*$G163)</f>
        <v/>
      </c>
      <c r="I163" s="51">
        <f>IF($C163="","",IF(COUNTIF('Item Master'!$A$4:$A$53,$C163)&gt;0,$C163,_xlfn.XLOOKUP($C163,'Item Master'!$B$4:$B$53,'Item Master'!$A$4:$A$53,"")))</f>
        <v/>
      </c>
    </row>
    <row r="164" ht="32" customHeight="1">
      <c r="A164" s="47" t="n"/>
      <c r="B164" s="46" t="n"/>
      <c r="C164" s="46" t="n"/>
      <c r="D164" s="46" t="n"/>
      <c r="E164" s="31">
        <f>IF($C164="","",IF($I164="","⚠️ Unknown code",_xlfn.XLOOKUP($I164,'Item Master'!$A$4:$A$53,'Item Master'!$C$4:$C$53,"")))</f>
        <v/>
      </c>
      <c r="F164" s="49" t="n"/>
      <c r="G164" s="36">
        <f>IF($I164="","",_xlfn.XLOOKUP($I164,'Item Master'!$A$4:$A$53,'Item Master'!$E$4:$E$53,0))</f>
        <v/>
      </c>
      <c r="H164" s="50">
        <f>IF($I164="","",$F164*$G164)</f>
        <v/>
      </c>
      <c r="I164" s="51">
        <f>IF($C164="","",IF(COUNTIF('Item Master'!$A$4:$A$53,$C164)&gt;0,$C164,_xlfn.XLOOKUP($C164,'Item Master'!$B$4:$B$53,'Item Master'!$A$4:$A$53,"")))</f>
        <v/>
      </c>
    </row>
    <row r="165" ht="32" customHeight="1">
      <c r="A165" s="47" t="n"/>
      <c r="B165" s="46" t="n"/>
      <c r="C165" s="46" t="n"/>
      <c r="D165" s="46" t="n"/>
      <c r="E165" s="31">
        <f>IF($C165="","",IF($I165="","⚠️ Unknown code",_xlfn.XLOOKUP($I165,'Item Master'!$A$4:$A$53,'Item Master'!$C$4:$C$53,"")))</f>
        <v/>
      </c>
      <c r="F165" s="49" t="n"/>
      <c r="G165" s="36">
        <f>IF($I165="","",_xlfn.XLOOKUP($I165,'Item Master'!$A$4:$A$53,'Item Master'!$E$4:$E$53,0))</f>
        <v/>
      </c>
      <c r="H165" s="50">
        <f>IF($I165="","",$F165*$G165)</f>
        <v/>
      </c>
      <c r="I165" s="51">
        <f>IF($C165="","",IF(COUNTIF('Item Master'!$A$4:$A$53,$C165)&gt;0,$C165,_xlfn.XLOOKUP($C165,'Item Master'!$B$4:$B$53,'Item Master'!$A$4:$A$53,"")))</f>
        <v/>
      </c>
    </row>
    <row r="166" ht="32" customHeight="1">
      <c r="A166" s="47" t="n"/>
      <c r="B166" s="46" t="n"/>
      <c r="C166" s="46" t="n"/>
      <c r="D166" s="46" t="n"/>
      <c r="E166" s="31">
        <f>IF($C166="","",IF($I166="","⚠️ Unknown code",_xlfn.XLOOKUP($I166,'Item Master'!$A$4:$A$53,'Item Master'!$C$4:$C$53,"")))</f>
        <v/>
      </c>
      <c r="F166" s="49" t="n"/>
      <c r="G166" s="36">
        <f>IF($I166="","",_xlfn.XLOOKUP($I166,'Item Master'!$A$4:$A$53,'Item Master'!$E$4:$E$53,0))</f>
        <v/>
      </c>
      <c r="H166" s="50">
        <f>IF($I166="","",$F166*$G166)</f>
        <v/>
      </c>
      <c r="I166" s="51">
        <f>IF($C166="","",IF(COUNTIF('Item Master'!$A$4:$A$53,$C166)&gt;0,$C166,_xlfn.XLOOKUP($C166,'Item Master'!$B$4:$B$53,'Item Master'!$A$4:$A$53,"")))</f>
        <v/>
      </c>
    </row>
    <row r="167" ht="32" customHeight="1">
      <c r="A167" s="47" t="n"/>
      <c r="B167" s="46" t="n"/>
      <c r="C167" s="46" t="n"/>
      <c r="D167" s="46" t="n"/>
      <c r="E167" s="31">
        <f>IF($C167="","",IF($I167="","⚠️ Unknown code",_xlfn.XLOOKUP($I167,'Item Master'!$A$4:$A$53,'Item Master'!$C$4:$C$53,"")))</f>
        <v/>
      </c>
      <c r="F167" s="49" t="n"/>
      <c r="G167" s="36">
        <f>IF($I167="","",_xlfn.XLOOKUP($I167,'Item Master'!$A$4:$A$53,'Item Master'!$E$4:$E$53,0))</f>
        <v/>
      </c>
      <c r="H167" s="50">
        <f>IF($I167="","",$F167*$G167)</f>
        <v/>
      </c>
      <c r="I167" s="51">
        <f>IF($C167="","",IF(COUNTIF('Item Master'!$A$4:$A$53,$C167)&gt;0,$C167,_xlfn.XLOOKUP($C167,'Item Master'!$B$4:$B$53,'Item Master'!$A$4:$A$53,"")))</f>
        <v/>
      </c>
    </row>
    <row r="168" ht="32" customHeight="1">
      <c r="A168" s="47" t="n"/>
      <c r="B168" s="46" t="n"/>
      <c r="C168" s="46" t="n"/>
      <c r="D168" s="46" t="n"/>
      <c r="E168" s="31">
        <f>IF($C168="","",IF($I168="","⚠️ Unknown code",_xlfn.XLOOKUP($I168,'Item Master'!$A$4:$A$53,'Item Master'!$C$4:$C$53,"")))</f>
        <v/>
      </c>
      <c r="F168" s="49" t="n"/>
      <c r="G168" s="36">
        <f>IF($I168="","",_xlfn.XLOOKUP($I168,'Item Master'!$A$4:$A$53,'Item Master'!$E$4:$E$53,0))</f>
        <v/>
      </c>
      <c r="H168" s="50">
        <f>IF($I168="","",$F168*$G168)</f>
        <v/>
      </c>
      <c r="I168" s="51">
        <f>IF($C168="","",IF(COUNTIF('Item Master'!$A$4:$A$53,$C168)&gt;0,$C168,_xlfn.XLOOKUP($C168,'Item Master'!$B$4:$B$53,'Item Master'!$A$4:$A$53,"")))</f>
        <v/>
      </c>
    </row>
    <row r="169" ht="32" customHeight="1">
      <c r="A169" s="47" t="n"/>
      <c r="B169" s="46" t="n"/>
      <c r="C169" s="46" t="n"/>
      <c r="D169" s="46" t="n"/>
      <c r="E169" s="31">
        <f>IF($C169="","",IF($I169="","⚠️ Unknown code",_xlfn.XLOOKUP($I169,'Item Master'!$A$4:$A$53,'Item Master'!$C$4:$C$53,"")))</f>
        <v/>
      </c>
      <c r="F169" s="49" t="n"/>
      <c r="G169" s="36">
        <f>IF($I169="","",_xlfn.XLOOKUP($I169,'Item Master'!$A$4:$A$53,'Item Master'!$E$4:$E$53,0))</f>
        <v/>
      </c>
      <c r="H169" s="50">
        <f>IF($I169="","",$F169*$G169)</f>
        <v/>
      </c>
      <c r="I169" s="51">
        <f>IF($C169="","",IF(COUNTIF('Item Master'!$A$4:$A$53,$C169)&gt;0,$C169,_xlfn.XLOOKUP($C169,'Item Master'!$B$4:$B$53,'Item Master'!$A$4:$A$53,"")))</f>
        <v/>
      </c>
    </row>
    <row r="170" ht="32" customHeight="1">
      <c r="A170" s="47" t="n"/>
      <c r="B170" s="46" t="n"/>
      <c r="C170" s="46" t="n"/>
      <c r="D170" s="46" t="n"/>
      <c r="E170" s="31">
        <f>IF($C170="","",IF($I170="","⚠️ Unknown code",_xlfn.XLOOKUP($I170,'Item Master'!$A$4:$A$53,'Item Master'!$C$4:$C$53,"")))</f>
        <v/>
      </c>
      <c r="F170" s="49" t="n"/>
      <c r="G170" s="36">
        <f>IF($I170="","",_xlfn.XLOOKUP($I170,'Item Master'!$A$4:$A$53,'Item Master'!$E$4:$E$53,0))</f>
        <v/>
      </c>
      <c r="H170" s="50">
        <f>IF($I170="","",$F170*$G170)</f>
        <v/>
      </c>
      <c r="I170" s="51">
        <f>IF($C170="","",IF(COUNTIF('Item Master'!$A$4:$A$53,$C170)&gt;0,$C170,_xlfn.XLOOKUP($C170,'Item Master'!$B$4:$B$53,'Item Master'!$A$4:$A$53,"")))</f>
        <v/>
      </c>
    </row>
    <row r="171" ht="32" customHeight="1">
      <c r="A171" s="47" t="n"/>
      <c r="B171" s="46" t="n"/>
      <c r="C171" s="46" t="n"/>
      <c r="D171" s="46" t="n"/>
      <c r="E171" s="31">
        <f>IF($C171="","",IF($I171="","⚠️ Unknown code",_xlfn.XLOOKUP($I171,'Item Master'!$A$4:$A$53,'Item Master'!$C$4:$C$53,"")))</f>
        <v/>
      </c>
      <c r="F171" s="49" t="n"/>
      <c r="G171" s="36">
        <f>IF($I171="","",_xlfn.XLOOKUP($I171,'Item Master'!$A$4:$A$53,'Item Master'!$E$4:$E$53,0))</f>
        <v/>
      </c>
      <c r="H171" s="50">
        <f>IF($I171="","",$F171*$G171)</f>
        <v/>
      </c>
      <c r="I171" s="51">
        <f>IF($C171="","",IF(COUNTIF('Item Master'!$A$4:$A$53,$C171)&gt;0,$C171,_xlfn.XLOOKUP($C171,'Item Master'!$B$4:$B$53,'Item Master'!$A$4:$A$53,"")))</f>
        <v/>
      </c>
    </row>
    <row r="172" ht="32" customHeight="1">
      <c r="A172" s="47" t="n"/>
      <c r="B172" s="46" t="n"/>
      <c r="C172" s="46" t="n"/>
      <c r="D172" s="46" t="n"/>
      <c r="E172" s="31">
        <f>IF($C172="","",IF($I172="","⚠️ Unknown code",_xlfn.XLOOKUP($I172,'Item Master'!$A$4:$A$53,'Item Master'!$C$4:$C$53,"")))</f>
        <v/>
      </c>
      <c r="F172" s="49" t="n"/>
      <c r="G172" s="36">
        <f>IF($I172="","",_xlfn.XLOOKUP($I172,'Item Master'!$A$4:$A$53,'Item Master'!$E$4:$E$53,0))</f>
        <v/>
      </c>
      <c r="H172" s="50">
        <f>IF($I172="","",$F172*$G172)</f>
        <v/>
      </c>
      <c r="I172" s="51">
        <f>IF($C172="","",IF(COUNTIF('Item Master'!$A$4:$A$53,$C172)&gt;0,$C172,_xlfn.XLOOKUP($C172,'Item Master'!$B$4:$B$53,'Item Master'!$A$4:$A$53,"")))</f>
        <v/>
      </c>
    </row>
    <row r="173" ht="32" customHeight="1">
      <c r="A173" s="47" t="n"/>
      <c r="B173" s="46" t="n"/>
      <c r="C173" s="46" t="n"/>
      <c r="D173" s="46" t="n"/>
      <c r="E173" s="31">
        <f>IF($C173="","",IF($I173="","⚠️ Unknown code",_xlfn.XLOOKUP($I173,'Item Master'!$A$4:$A$53,'Item Master'!$C$4:$C$53,"")))</f>
        <v/>
      </c>
      <c r="F173" s="49" t="n"/>
      <c r="G173" s="36">
        <f>IF($I173="","",_xlfn.XLOOKUP($I173,'Item Master'!$A$4:$A$53,'Item Master'!$E$4:$E$53,0))</f>
        <v/>
      </c>
      <c r="H173" s="50">
        <f>IF($I173="","",$F173*$G173)</f>
        <v/>
      </c>
      <c r="I173" s="51">
        <f>IF($C173="","",IF(COUNTIF('Item Master'!$A$4:$A$53,$C173)&gt;0,$C173,_xlfn.XLOOKUP($C173,'Item Master'!$B$4:$B$53,'Item Master'!$A$4:$A$53,"")))</f>
        <v/>
      </c>
    </row>
    <row r="174" ht="32" customHeight="1">
      <c r="A174" s="47" t="n"/>
      <c r="B174" s="46" t="n"/>
      <c r="C174" s="46" t="n"/>
      <c r="D174" s="46" t="n"/>
      <c r="E174" s="31">
        <f>IF($C174="","",IF($I174="","⚠️ Unknown code",_xlfn.XLOOKUP($I174,'Item Master'!$A$4:$A$53,'Item Master'!$C$4:$C$53,"")))</f>
        <v/>
      </c>
      <c r="F174" s="49" t="n"/>
      <c r="G174" s="36">
        <f>IF($I174="","",_xlfn.XLOOKUP($I174,'Item Master'!$A$4:$A$53,'Item Master'!$E$4:$E$53,0))</f>
        <v/>
      </c>
      <c r="H174" s="50">
        <f>IF($I174="","",$F174*$G174)</f>
        <v/>
      </c>
      <c r="I174" s="51">
        <f>IF($C174="","",IF(COUNTIF('Item Master'!$A$4:$A$53,$C174)&gt;0,$C174,_xlfn.XLOOKUP($C174,'Item Master'!$B$4:$B$53,'Item Master'!$A$4:$A$53,"")))</f>
        <v/>
      </c>
    </row>
    <row r="175" ht="32" customHeight="1">
      <c r="A175" s="47" t="n"/>
      <c r="B175" s="46" t="n"/>
      <c r="C175" s="46" t="n"/>
      <c r="D175" s="46" t="n"/>
      <c r="E175" s="31">
        <f>IF($C175="","",IF($I175="","⚠️ Unknown code",_xlfn.XLOOKUP($I175,'Item Master'!$A$4:$A$53,'Item Master'!$C$4:$C$53,"")))</f>
        <v/>
      </c>
      <c r="F175" s="49" t="n"/>
      <c r="G175" s="36">
        <f>IF($I175="","",_xlfn.XLOOKUP($I175,'Item Master'!$A$4:$A$53,'Item Master'!$E$4:$E$53,0))</f>
        <v/>
      </c>
      <c r="H175" s="50">
        <f>IF($I175="","",$F175*$G175)</f>
        <v/>
      </c>
      <c r="I175" s="51">
        <f>IF($C175="","",IF(COUNTIF('Item Master'!$A$4:$A$53,$C175)&gt;0,$C175,_xlfn.XLOOKUP($C175,'Item Master'!$B$4:$B$53,'Item Master'!$A$4:$A$53,"")))</f>
        <v/>
      </c>
    </row>
    <row r="176" ht="32" customHeight="1">
      <c r="A176" s="47" t="n"/>
      <c r="B176" s="46" t="n"/>
      <c r="C176" s="46" t="n"/>
      <c r="D176" s="46" t="n"/>
      <c r="E176" s="31">
        <f>IF($C176="","",IF($I176="","⚠️ Unknown code",_xlfn.XLOOKUP($I176,'Item Master'!$A$4:$A$53,'Item Master'!$C$4:$C$53,"")))</f>
        <v/>
      </c>
      <c r="F176" s="49" t="n"/>
      <c r="G176" s="36">
        <f>IF($I176="","",_xlfn.XLOOKUP($I176,'Item Master'!$A$4:$A$53,'Item Master'!$E$4:$E$53,0))</f>
        <v/>
      </c>
      <c r="H176" s="50">
        <f>IF($I176="","",$F176*$G176)</f>
        <v/>
      </c>
      <c r="I176" s="51">
        <f>IF($C176="","",IF(COUNTIF('Item Master'!$A$4:$A$53,$C176)&gt;0,$C176,_xlfn.XLOOKUP($C176,'Item Master'!$B$4:$B$53,'Item Master'!$A$4:$A$53,"")))</f>
        <v/>
      </c>
    </row>
    <row r="177" ht="32" customHeight="1">
      <c r="A177" s="47" t="n"/>
      <c r="B177" s="46" t="n"/>
      <c r="C177" s="46" t="n"/>
      <c r="D177" s="46" t="n"/>
      <c r="E177" s="31">
        <f>IF($C177="","",IF($I177="","⚠️ Unknown code",_xlfn.XLOOKUP($I177,'Item Master'!$A$4:$A$53,'Item Master'!$C$4:$C$53,"")))</f>
        <v/>
      </c>
      <c r="F177" s="49" t="n"/>
      <c r="G177" s="36">
        <f>IF($I177="","",_xlfn.XLOOKUP($I177,'Item Master'!$A$4:$A$53,'Item Master'!$E$4:$E$53,0))</f>
        <v/>
      </c>
      <c r="H177" s="50">
        <f>IF($I177="","",$F177*$G177)</f>
        <v/>
      </c>
      <c r="I177" s="51">
        <f>IF($C177="","",IF(COUNTIF('Item Master'!$A$4:$A$53,$C177)&gt;0,$C177,_xlfn.XLOOKUP($C177,'Item Master'!$B$4:$B$53,'Item Master'!$A$4:$A$53,"")))</f>
        <v/>
      </c>
    </row>
    <row r="178" ht="32" customHeight="1">
      <c r="A178" s="47" t="n"/>
      <c r="B178" s="46" t="n"/>
      <c r="C178" s="46" t="n"/>
      <c r="D178" s="46" t="n"/>
      <c r="E178" s="31">
        <f>IF($C178="","",IF($I178="","⚠️ Unknown code",_xlfn.XLOOKUP($I178,'Item Master'!$A$4:$A$53,'Item Master'!$C$4:$C$53,"")))</f>
        <v/>
      </c>
      <c r="F178" s="49" t="n"/>
      <c r="G178" s="36">
        <f>IF($I178="","",_xlfn.XLOOKUP($I178,'Item Master'!$A$4:$A$53,'Item Master'!$E$4:$E$53,0))</f>
        <v/>
      </c>
      <c r="H178" s="50">
        <f>IF($I178="","",$F178*$G178)</f>
        <v/>
      </c>
      <c r="I178" s="51">
        <f>IF($C178="","",IF(COUNTIF('Item Master'!$A$4:$A$53,$C178)&gt;0,$C178,_xlfn.XLOOKUP($C178,'Item Master'!$B$4:$B$53,'Item Master'!$A$4:$A$53,"")))</f>
        <v/>
      </c>
    </row>
    <row r="179" ht="32" customHeight="1">
      <c r="A179" s="47" t="n"/>
      <c r="B179" s="46" t="n"/>
      <c r="C179" s="46" t="n"/>
      <c r="D179" s="46" t="n"/>
      <c r="E179" s="31">
        <f>IF($C179="","",IF($I179="","⚠️ Unknown code",_xlfn.XLOOKUP($I179,'Item Master'!$A$4:$A$53,'Item Master'!$C$4:$C$53,"")))</f>
        <v/>
      </c>
      <c r="F179" s="49" t="n"/>
      <c r="G179" s="36">
        <f>IF($I179="","",_xlfn.XLOOKUP($I179,'Item Master'!$A$4:$A$53,'Item Master'!$E$4:$E$53,0))</f>
        <v/>
      </c>
      <c r="H179" s="50">
        <f>IF($I179="","",$F179*$G179)</f>
        <v/>
      </c>
      <c r="I179" s="51">
        <f>IF($C179="","",IF(COUNTIF('Item Master'!$A$4:$A$53,$C179)&gt;0,$C179,_xlfn.XLOOKUP($C179,'Item Master'!$B$4:$B$53,'Item Master'!$A$4:$A$53,"")))</f>
        <v/>
      </c>
    </row>
    <row r="180" ht="32" customHeight="1">
      <c r="A180" s="47" t="n"/>
      <c r="B180" s="46" t="n"/>
      <c r="C180" s="46" t="n"/>
      <c r="D180" s="46" t="n"/>
      <c r="E180" s="31">
        <f>IF($C180="","",IF($I180="","⚠️ Unknown code",_xlfn.XLOOKUP($I180,'Item Master'!$A$4:$A$53,'Item Master'!$C$4:$C$53,"")))</f>
        <v/>
      </c>
      <c r="F180" s="49" t="n"/>
      <c r="G180" s="36">
        <f>IF($I180="","",_xlfn.XLOOKUP($I180,'Item Master'!$A$4:$A$53,'Item Master'!$E$4:$E$53,0))</f>
        <v/>
      </c>
      <c r="H180" s="50">
        <f>IF($I180="","",$F180*$G180)</f>
        <v/>
      </c>
      <c r="I180" s="51">
        <f>IF($C180="","",IF(COUNTIF('Item Master'!$A$4:$A$53,$C180)&gt;0,$C180,_xlfn.XLOOKUP($C180,'Item Master'!$B$4:$B$53,'Item Master'!$A$4:$A$53,"")))</f>
        <v/>
      </c>
    </row>
    <row r="181" ht="32" customHeight="1">
      <c r="A181" s="47" t="n"/>
      <c r="B181" s="46" t="n"/>
      <c r="C181" s="46" t="n"/>
      <c r="D181" s="46" t="n"/>
      <c r="E181" s="31">
        <f>IF($C181="","",IF($I181="","⚠️ Unknown code",_xlfn.XLOOKUP($I181,'Item Master'!$A$4:$A$53,'Item Master'!$C$4:$C$53,"")))</f>
        <v/>
      </c>
      <c r="F181" s="49" t="n"/>
      <c r="G181" s="36">
        <f>IF($I181="","",_xlfn.XLOOKUP($I181,'Item Master'!$A$4:$A$53,'Item Master'!$E$4:$E$53,0))</f>
        <v/>
      </c>
      <c r="H181" s="50">
        <f>IF($I181="","",$F181*$G181)</f>
        <v/>
      </c>
      <c r="I181" s="51">
        <f>IF($C181="","",IF(COUNTIF('Item Master'!$A$4:$A$53,$C181)&gt;0,$C181,_xlfn.XLOOKUP($C181,'Item Master'!$B$4:$B$53,'Item Master'!$A$4:$A$53,"")))</f>
        <v/>
      </c>
    </row>
    <row r="182" ht="32" customHeight="1">
      <c r="A182" s="47" t="n"/>
      <c r="B182" s="46" t="n"/>
      <c r="C182" s="46" t="n"/>
      <c r="D182" s="46" t="n"/>
      <c r="E182" s="31">
        <f>IF($C182="","",IF($I182="","⚠️ Unknown code",_xlfn.XLOOKUP($I182,'Item Master'!$A$4:$A$53,'Item Master'!$C$4:$C$53,"")))</f>
        <v/>
      </c>
      <c r="F182" s="49" t="n"/>
      <c r="G182" s="36">
        <f>IF($I182="","",_xlfn.XLOOKUP($I182,'Item Master'!$A$4:$A$53,'Item Master'!$E$4:$E$53,0))</f>
        <v/>
      </c>
      <c r="H182" s="50">
        <f>IF($I182="","",$F182*$G182)</f>
        <v/>
      </c>
      <c r="I182" s="51">
        <f>IF($C182="","",IF(COUNTIF('Item Master'!$A$4:$A$53,$C182)&gt;0,$C182,_xlfn.XLOOKUP($C182,'Item Master'!$B$4:$B$53,'Item Master'!$A$4:$A$53,"")))</f>
        <v/>
      </c>
    </row>
    <row r="183" ht="32" customHeight="1">
      <c r="A183" s="47" t="n"/>
      <c r="B183" s="46" t="n"/>
      <c r="C183" s="46" t="n"/>
      <c r="D183" s="46" t="n"/>
      <c r="E183" s="31">
        <f>IF($C183="","",IF($I183="","⚠️ Unknown code",_xlfn.XLOOKUP($I183,'Item Master'!$A$4:$A$53,'Item Master'!$C$4:$C$53,"")))</f>
        <v/>
      </c>
      <c r="F183" s="49" t="n"/>
      <c r="G183" s="36">
        <f>IF($I183="","",_xlfn.XLOOKUP($I183,'Item Master'!$A$4:$A$53,'Item Master'!$E$4:$E$53,0))</f>
        <v/>
      </c>
      <c r="H183" s="50">
        <f>IF($I183="","",$F183*$G183)</f>
        <v/>
      </c>
      <c r="I183" s="51">
        <f>IF($C183="","",IF(COUNTIF('Item Master'!$A$4:$A$53,$C183)&gt;0,$C183,_xlfn.XLOOKUP($C183,'Item Master'!$B$4:$B$53,'Item Master'!$A$4:$A$53,"")))</f>
        <v/>
      </c>
    </row>
    <row r="184" ht="32" customHeight="1">
      <c r="A184" s="47" t="n"/>
      <c r="B184" s="46" t="n"/>
      <c r="C184" s="46" t="n"/>
      <c r="D184" s="46" t="n"/>
      <c r="E184" s="31">
        <f>IF($C184="","",IF($I184="","⚠️ Unknown code",_xlfn.XLOOKUP($I184,'Item Master'!$A$4:$A$53,'Item Master'!$C$4:$C$53,"")))</f>
        <v/>
      </c>
      <c r="F184" s="49" t="n"/>
      <c r="G184" s="36">
        <f>IF($I184="","",_xlfn.XLOOKUP($I184,'Item Master'!$A$4:$A$53,'Item Master'!$E$4:$E$53,0))</f>
        <v/>
      </c>
      <c r="H184" s="50">
        <f>IF($I184="","",$F184*$G184)</f>
        <v/>
      </c>
      <c r="I184" s="51">
        <f>IF($C184="","",IF(COUNTIF('Item Master'!$A$4:$A$53,$C184)&gt;0,$C184,_xlfn.XLOOKUP($C184,'Item Master'!$B$4:$B$53,'Item Master'!$A$4:$A$53,"")))</f>
        <v/>
      </c>
    </row>
    <row r="185" ht="32" customHeight="1">
      <c r="A185" s="47" t="n"/>
      <c r="B185" s="46" t="n"/>
      <c r="C185" s="46" t="n"/>
      <c r="D185" s="46" t="n"/>
      <c r="E185" s="31">
        <f>IF($C185="","",IF($I185="","⚠️ Unknown code",_xlfn.XLOOKUP($I185,'Item Master'!$A$4:$A$53,'Item Master'!$C$4:$C$53,"")))</f>
        <v/>
      </c>
      <c r="F185" s="49" t="n"/>
      <c r="G185" s="36">
        <f>IF($I185="","",_xlfn.XLOOKUP($I185,'Item Master'!$A$4:$A$53,'Item Master'!$E$4:$E$53,0))</f>
        <v/>
      </c>
      <c r="H185" s="50">
        <f>IF($I185="","",$F185*$G185)</f>
        <v/>
      </c>
      <c r="I185" s="51">
        <f>IF($C185="","",IF(COUNTIF('Item Master'!$A$4:$A$53,$C185)&gt;0,$C185,_xlfn.XLOOKUP($C185,'Item Master'!$B$4:$B$53,'Item Master'!$A$4:$A$53,"")))</f>
        <v/>
      </c>
    </row>
    <row r="186" ht="32" customHeight="1">
      <c r="A186" s="47" t="n"/>
      <c r="B186" s="46" t="n"/>
      <c r="C186" s="46" t="n"/>
      <c r="D186" s="46" t="n"/>
      <c r="E186" s="31">
        <f>IF($C186="","",IF($I186="","⚠️ Unknown code",_xlfn.XLOOKUP($I186,'Item Master'!$A$4:$A$53,'Item Master'!$C$4:$C$53,"")))</f>
        <v/>
      </c>
      <c r="F186" s="49" t="n"/>
      <c r="G186" s="36">
        <f>IF($I186="","",_xlfn.XLOOKUP($I186,'Item Master'!$A$4:$A$53,'Item Master'!$E$4:$E$53,0))</f>
        <v/>
      </c>
      <c r="H186" s="50">
        <f>IF($I186="","",$F186*$G186)</f>
        <v/>
      </c>
      <c r="I186" s="51">
        <f>IF($C186="","",IF(COUNTIF('Item Master'!$A$4:$A$53,$C186)&gt;0,$C186,_xlfn.XLOOKUP($C186,'Item Master'!$B$4:$B$53,'Item Master'!$A$4:$A$53,"")))</f>
        <v/>
      </c>
    </row>
    <row r="187" ht="32" customHeight="1">
      <c r="A187" s="47" t="n"/>
      <c r="B187" s="46" t="n"/>
      <c r="C187" s="46" t="n"/>
      <c r="D187" s="46" t="n"/>
      <c r="E187" s="31">
        <f>IF($C187="","",IF($I187="","⚠️ Unknown code",_xlfn.XLOOKUP($I187,'Item Master'!$A$4:$A$53,'Item Master'!$C$4:$C$53,"")))</f>
        <v/>
      </c>
      <c r="F187" s="49" t="n"/>
      <c r="G187" s="36">
        <f>IF($I187="","",_xlfn.XLOOKUP($I187,'Item Master'!$A$4:$A$53,'Item Master'!$E$4:$E$53,0))</f>
        <v/>
      </c>
      <c r="H187" s="50">
        <f>IF($I187="","",$F187*$G187)</f>
        <v/>
      </c>
      <c r="I187" s="51">
        <f>IF($C187="","",IF(COUNTIF('Item Master'!$A$4:$A$53,$C187)&gt;0,$C187,_xlfn.XLOOKUP($C187,'Item Master'!$B$4:$B$53,'Item Master'!$A$4:$A$53,"")))</f>
        <v/>
      </c>
    </row>
    <row r="188" ht="32" customHeight="1">
      <c r="A188" s="47" t="n"/>
      <c r="B188" s="46" t="n"/>
      <c r="C188" s="46" t="n"/>
      <c r="D188" s="46" t="n"/>
      <c r="E188" s="31">
        <f>IF($C188="","",IF($I188="","⚠️ Unknown code",_xlfn.XLOOKUP($I188,'Item Master'!$A$4:$A$53,'Item Master'!$C$4:$C$53,"")))</f>
        <v/>
      </c>
      <c r="F188" s="49" t="n"/>
      <c r="G188" s="36">
        <f>IF($I188="","",_xlfn.XLOOKUP($I188,'Item Master'!$A$4:$A$53,'Item Master'!$E$4:$E$53,0))</f>
        <v/>
      </c>
      <c r="H188" s="50">
        <f>IF($I188="","",$F188*$G188)</f>
        <v/>
      </c>
      <c r="I188" s="51">
        <f>IF($C188="","",IF(COUNTIF('Item Master'!$A$4:$A$53,$C188)&gt;0,$C188,_xlfn.XLOOKUP($C188,'Item Master'!$B$4:$B$53,'Item Master'!$A$4:$A$53,"")))</f>
        <v/>
      </c>
    </row>
    <row r="189" ht="32" customHeight="1">
      <c r="A189" s="47" t="n"/>
      <c r="B189" s="46" t="n"/>
      <c r="C189" s="46" t="n"/>
      <c r="D189" s="46" t="n"/>
      <c r="E189" s="31">
        <f>IF($C189="","",IF($I189="","⚠️ Unknown code",_xlfn.XLOOKUP($I189,'Item Master'!$A$4:$A$53,'Item Master'!$C$4:$C$53,"")))</f>
        <v/>
      </c>
      <c r="F189" s="49" t="n"/>
      <c r="G189" s="36">
        <f>IF($I189="","",_xlfn.XLOOKUP($I189,'Item Master'!$A$4:$A$53,'Item Master'!$E$4:$E$53,0))</f>
        <v/>
      </c>
      <c r="H189" s="50">
        <f>IF($I189="","",$F189*$G189)</f>
        <v/>
      </c>
      <c r="I189" s="51">
        <f>IF($C189="","",IF(COUNTIF('Item Master'!$A$4:$A$53,$C189)&gt;0,$C189,_xlfn.XLOOKUP($C189,'Item Master'!$B$4:$B$53,'Item Master'!$A$4:$A$53,"")))</f>
        <v/>
      </c>
    </row>
    <row r="190" ht="32" customHeight="1">
      <c r="A190" s="47" t="n"/>
      <c r="B190" s="46" t="n"/>
      <c r="C190" s="46" t="n"/>
      <c r="D190" s="46" t="n"/>
      <c r="E190" s="31">
        <f>IF($C190="","",IF($I190="","⚠️ Unknown code",_xlfn.XLOOKUP($I190,'Item Master'!$A$4:$A$53,'Item Master'!$C$4:$C$53,"")))</f>
        <v/>
      </c>
      <c r="F190" s="49" t="n"/>
      <c r="G190" s="36">
        <f>IF($I190="","",_xlfn.XLOOKUP($I190,'Item Master'!$A$4:$A$53,'Item Master'!$E$4:$E$53,0))</f>
        <v/>
      </c>
      <c r="H190" s="50">
        <f>IF($I190="","",$F190*$G190)</f>
        <v/>
      </c>
      <c r="I190" s="51">
        <f>IF($C190="","",IF(COUNTIF('Item Master'!$A$4:$A$53,$C190)&gt;0,$C190,_xlfn.XLOOKUP($C190,'Item Master'!$B$4:$B$53,'Item Master'!$A$4:$A$53,"")))</f>
        <v/>
      </c>
    </row>
    <row r="191" ht="32" customHeight="1">
      <c r="A191" s="47" t="n"/>
      <c r="B191" s="46" t="n"/>
      <c r="C191" s="46" t="n"/>
      <c r="D191" s="46" t="n"/>
      <c r="E191" s="31">
        <f>IF($C191="","",IF($I191="","⚠️ Unknown code",_xlfn.XLOOKUP($I191,'Item Master'!$A$4:$A$53,'Item Master'!$C$4:$C$53,"")))</f>
        <v/>
      </c>
      <c r="F191" s="49" t="n"/>
      <c r="G191" s="36">
        <f>IF($I191="","",_xlfn.XLOOKUP($I191,'Item Master'!$A$4:$A$53,'Item Master'!$E$4:$E$53,0))</f>
        <v/>
      </c>
      <c r="H191" s="50">
        <f>IF($I191="","",$F191*$G191)</f>
        <v/>
      </c>
      <c r="I191" s="51">
        <f>IF($C191="","",IF(COUNTIF('Item Master'!$A$4:$A$53,$C191)&gt;0,$C191,_xlfn.XLOOKUP($C191,'Item Master'!$B$4:$B$53,'Item Master'!$A$4:$A$53,"")))</f>
        <v/>
      </c>
    </row>
    <row r="192" ht="32" customHeight="1">
      <c r="A192" s="47" t="n"/>
      <c r="B192" s="46" t="n"/>
      <c r="C192" s="46" t="n"/>
      <c r="D192" s="46" t="n"/>
      <c r="E192" s="31">
        <f>IF($C192="","",IF($I192="","⚠️ Unknown code",_xlfn.XLOOKUP($I192,'Item Master'!$A$4:$A$53,'Item Master'!$C$4:$C$53,"")))</f>
        <v/>
      </c>
      <c r="F192" s="49" t="n"/>
      <c r="G192" s="36">
        <f>IF($I192="","",_xlfn.XLOOKUP($I192,'Item Master'!$A$4:$A$53,'Item Master'!$E$4:$E$53,0))</f>
        <v/>
      </c>
      <c r="H192" s="50">
        <f>IF($I192="","",$F192*$G192)</f>
        <v/>
      </c>
      <c r="I192" s="51">
        <f>IF($C192="","",IF(COUNTIF('Item Master'!$A$4:$A$53,$C192)&gt;0,$C192,_xlfn.XLOOKUP($C192,'Item Master'!$B$4:$B$53,'Item Master'!$A$4:$A$53,"")))</f>
        <v/>
      </c>
    </row>
    <row r="193" ht="32" customHeight="1">
      <c r="A193" s="47" t="n"/>
      <c r="B193" s="46" t="n"/>
      <c r="C193" s="46" t="n"/>
      <c r="D193" s="46" t="n"/>
      <c r="E193" s="31">
        <f>IF($C193="","",IF($I193="","⚠️ Unknown code",_xlfn.XLOOKUP($I193,'Item Master'!$A$4:$A$53,'Item Master'!$C$4:$C$53,"")))</f>
        <v/>
      </c>
      <c r="F193" s="49" t="n"/>
      <c r="G193" s="36">
        <f>IF($I193="","",_xlfn.XLOOKUP($I193,'Item Master'!$A$4:$A$53,'Item Master'!$E$4:$E$53,0))</f>
        <v/>
      </c>
      <c r="H193" s="50">
        <f>IF($I193="","",$F193*$G193)</f>
        <v/>
      </c>
      <c r="I193" s="51">
        <f>IF($C193="","",IF(COUNTIF('Item Master'!$A$4:$A$53,$C193)&gt;0,$C193,_xlfn.XLOOKUP($C193,'Item Master'!$B$4:$B$53,'Item Master'!$A$4:$A$53,"")))</f>
        <v/>
      </c>
    </row>
    <row r="194" ht="32" customHeight="1">
      <c r="A194" s="47" t="n"/>
      <c r="B194" s="46" t="n"/>
      <c r="C194" s="46" t="n"/>
      <c r="D194" s="46" t="n"/>
      <c r="E194" s="31">
        <f>IF($C194="","",IF($I194="","⚠️ Unknown code",_xlfn.XLOOKUP($I194,'Item Master'!$A$4:$A$53,'Item Master'!$C$4:$C$53,"")))</f>
        <v/>
      </c>
      <c r="F194" s="49" t="n"/>
      <c r="G194" s="36">
        <f>IF($I194="","",_xlfn.XLOOKUP($I194,'Item Master'!$A$4:$A$53,'Item Master'!$E$4:$E$53,0))</f>
        <v/>
      </c>
      <c r="H194" s="50">
        <f>IF($I194="","",$F194*$G194)</f>
        <v/>
      </c>
      <c r="I194" s="51">
        <f>IF($C194="","",IF(COUNTIF('Item Master'!$A$4:$A$53,$C194)&gt;0,$C194,_xlfn.XLOOKUP($C194,'Item Master'!$B$4:$B$53,'Item Master'!$A$4:$A$53,"")))</f>
        <v/>
      </c>
    </row>
    <row r="195" ht="32" customHeight="1">
      <c r="A195" s="47" t="n"/>
      <c r="B195" s="46" t="n"/>
      <c r="C195" s="46" t="n"/>
      <c r="D195" s="46" t="n"/>
      <c r="E195" s="31">
        <f>IF($C195="","",IF($I195="","⚠️ Unknown code",_xlfn.XLOOKUP($I195,'Item Master'!$A$4:$A$53,'Item Master'!$C$4:$C$53,"")))</f>
        <v/>
      </c>
      <c r="F195" s="49" t="n"/>
      <c r="G195" s="36">
        <f>IF($I195="","",_xlfn.XLOOKUP($I195,'Item Master'!$A$4:$A$53,'Item Master'!$E$4:$E$53,0))</f>
        <v/>
      </c>
      <c r="H195" s="50">
        <f>IF($I195="","",$F195*$G195)</f>
        <v/>
      </c>
      <c r="I195" s="51">
        <f>IF($C195="","",IF(COUNTIF('Item Master'!$A$4:$A$53,$C195)&gt;0,$C195,_xlfn.XLOOKUP($C195,'Item Master'!$B$4:$B$53,'Item Master'!$A$4:$A$53,"")))</f>
        <v/>
      </c>
    </row>
    <row r="196" ht="32" customHeight="1">
      <c r="A196" s="47" t="n"/>
      <c r="B196" s="46" t="n"/>
      <c r="C196" s="46" t="n"/>
      <c r="D196" s="46" t="n"/>
      <c r="E196" s="31">
        <f>IF($C196="","",IF($I196="","⚠️ Unknown code",_xlfn.XLOOKUP($I196,'Item Master'!$A$4:$A$53,'Item Master'!$C$4:$C$53,"")))</f>
        <v/>
      </c>
      <c r="F196" s="49" t="n"/>
      <c r="G196" s="36">
        <f>IF($I196="","",_xlfn.XLOOKUP($I196,'Item Master'!$A$4:$A$53,'Item Master'!$E$4:$E$53,0))</f>
        <v/>
      </c>
      <c r="H196" s="50">
        <f>IF($I196="","",$F196*$G196)</f>
        <v/>
      </c>
      <c r="I196" s="51">
        <f>IF($C196="","",IF(COUNTIF('Item Master'!$A$4:$A$53,$C196)&gt;0,$C196,_xlfn.XLOOKUP($C196,'Item Master'!$B$4:$B$53,'Item Master'!$A$4:$A$53,"")))</f>
        <v/>
      </c>
    </row>
    <row r="197" ht="32" customHeight="1">
      <c r="A197" s="47" t="n"/>
      <c r="B197" s="46" t="n"/>
      <c r="C197" s="46" t="n"/>
      <c r="D197" s="46" t="n"/>
      <c r="E197" s="31">
        <f>IF($C197="","",IF($I197="","⚠️ Unknown code",_xlfn.XLOOKUP($I197,'Item Master'!$A$4:$A$53,'Item Master'!$C$4:$C$53,"")))</f>
        <v/>
      </c>
      <c r="F197" s="49" t="n"/>
      <c r="G197" s="36">
        <f>IF($I197="","",_xlfn.XLOOKUP($I197,'Item Master'!$A$4:$A$53,'Item Master'!$E$4:$E$53,0))</f>
        <v/>
      </c>
      <c r="H197" s="50">
        <f>IF($I197="","",$F197*$G197)</f>
        <v/>
      </c>
      <c r="I197" s="51">
        <f>IF($C197="","",IF(COUNTIF('Item Master'!$A$4:$A$53,$C197)&gt;0,$C197,_xlfn.XLOOKUP($C197,'Item Master'!$B$4:$B$53,'Item Master'!$A$4:$A$53,"")))</f>
        <v/>
      </c>
    </row>
    <row r="198" ht="32" customHeight="1">
      <c r="A198" s="47" t="n"/>
      <c r="B198" s="46" t="n"/>
      <c r="C198" s="46" t="n"/>
      <c r="D198" s="46" t="n"/>
      <c r="E198" s="31">
        <f>IF($C198="","",IF($I198="","⚠️ Unknown code",_xlfn.XLOOKUP($I198,'Item Master'!$A$4:$A$53,'Item Master'!$C$4:$C$53,"")))</f>
        <v/>
      </c>
      <c r="F198" s="49" t="n"/>
      <c r="G198" s="36">
        <f>IF($I198="","",_xlfn.XLOOKUP($I198,'Item Master'!$A$4:$A$53,'Item Master'!$E$4:$E$53,0))</f>
        <v/>
      </c>
      <c r="H198" s="50">
        <f>IF($I198="","",$F198*$G198)</f>
        <v/>
      </c>
      <c r="I198" s="51">
        <f>IF($C198="","",IF(COUNTIF('Item Master'!$A$4:$A$53,$C198)&gt;0,$C198,_xlfn.XLOOKUP($C198,'Item Master'!$B$4:$B$53,'Item Master'!$A$4:$A$53,"")))</f>
        <v/>
      </c>
    </row>
    <row r="199" ht="32" customHeight="1">
      <c r="A199" s="47" t="n"/>
      <c r="B199" s="46" t="n"/>
      <c r="C199" s="46" t="n"/>
      <c r="D199" s="46" t="n"/>
      <c r="E199" s="31">
        <f>IF($C199="","",IF($I199="","⚠️ Unknown code",_xlfn.XLOOKUP($I199,'Item Master'!$A$4:$A$53,'Item Master'!$C$4:$C$53,"")))</f>
        <v/>
      </c>
      <c r="F199" s="49" t="n"/>
      <c r="G199" s="36">
        <f>IF($I199="","",_xlfn.XLOOKUP($I199,'Item Master'!$A$4:$A$53,'Item Master'!$E$4:$E$53,0))</f>
        <v/>
      </c>
      <c r="H199" s="50">
        <f>IF($I199="","",$F199*$G199)</f>
        <v/>
      </c>
      <c r="I199" s="51">
        <f>IF($C199="","",IF(COUNTIF('Item Master'!$A$4:$A$53,$C199)&gt;0,$C199,_xlfn.XLOOKUP($C199,'Item Master'!$B$4:$B$53,'Item Master'!$A$4:$A$53,"")))</f>
        <v/>
      </c>
    </row>
    <row r="200" ht="32" customHeight="1">
      <c r="A200" s="47" t="n"/>
      <c r="B200" s="46" t="n"/>
      <c r="C200" s="46" t="n"/>
      <c r="D200" s="46" t="n"/>
      <c r="E200" s="31">
        <f>IF($C200="","",IF($I200="","⚠️ Unknown code",_xlfn.XLOOKUP($I200,'Item Master'!$A$4:$A$53,'Item Master'!$C$4:$C$53,"")))</f>
        <v/>
      </c>
      <c r="F200" s="49" t="n"/>
      <c r="G200" s="36">
        <f>IF($I200="","",_xlfn.XLOOKUP($I200,'Item Master'!$A$4:$A$53,'Item Master'!$E$4:$E$53,0))</f>
        <v/>
      </c>
      <c r="H200" s="50">
        <f>IF($I200="","",$F200*$G200)</f>
        <v/>
      </c>
      <c r="I200" s="51">
        <f>IF($C200="","",IF(COUNTIF('Item Master'!$A$4:$A$53,$C200)&gt;0,$C200,_xlfn.XLOOKUP($C200,'Item Master'!$B$4:$B$53,'Item Master'!$A$4:$A$53,"")))</f>
        <v/>
      </c>
    </row>
    <row r="201" ht="32" customHeight="1">
      <c r="A201" s="47" t="n"/>
      <c r="B201" s="46" t="n"/>
      <c r="C201" s="46" t="n"/>
      <c r="D201" s="46" t="n"/>
      <c r="E201" s="31">
        <f>IF($C201="","",IF($I201="","⚠️ Unknown code",_xlfn.XLOOKUP($I201,'Item Master'!$A$4:$A$53,'Item Master'!$C$4:$C$53,"")))</f>
        <v/>
      </c>
      <c r="F201" s="49" t="n"/>
      <c r="G201" s="36">
        <f>IF($I201="","",_xlfn.XLOOKUP($I201,'Item Master'!$A$4:$A$53,'Item Master'!$E$4:$E$53,0))</f>
        <v/>
      </c>
      <c r="H201" s="50">
        <f>IF($I201="","",$F201*$G201)</f>
        <v/>
      </c>
      <c r="I201" s="51">
        <f>IF($C201="","",IF(COUNTIF('Item Master'!$A$4:$A$53,$C201)&gt;0,$C201,_xlfn.XLOOKUP($C201,'Item Master'!$B$4:$B$53,'Item Master'!$A$4:$A$53,"")))</f>
        <v/>
      </c>
    </row>
    <row r="202" ht="32" customHeight="1">
      <c r="A202" s="47" t="n"/>
      <c r="B202" s="46" t="n"/>
      <c r="C202" s="46" t="n"/>
      <c r="D202" s="46" t="n"/>
      <c r="E202" s="31">
        <f>IF($C202="","",IF($I202="","⚠️ Unknown code",_xlfn.XLOOKUP($I202,'Item Master'!$A$4:$A$53,'Item Master'!$C$4:$C$53,"")))</f>
        <v/>
      </c>
      <c r="F202" s="49" t="n"/>
      <c r="G202" s="36">
        <f>IF($I202="","",_xlfn.XLOOKUP($I202,'Item Master'!$A$4:$A$53,'Item Master'!$E$4:$E$53,0))</f>
        <v/>
      </c>
      <c r="H202" s="50">
        <f>IF($I202="","",$F202*$G202)</f>
        <v/>
      </c>
      <c r="I202" s="51">
        <f>IF($C202="","",IF(COUNTIF('Item Master'!$A$4:$A$53,$C202)&gt;0,$C202,_xlfn.XLOOKUP($C202,'Item Master'!$B$4:$B$53,'Item Master'!$A$4:$A$53,"")))</f>
        <v/>
      </c>
    </row>
    <row r="203" ht="32" customHeight="1">
      <c r="A203" s="47" t="n"/>
      <c r="B203" s="46" t="n"/>
      <c r="C203" s="46" t="n"/>
      <c r="D203" s="46" t="n"/>
      <c r="E203" s="31">
        <f>IF($C203="","",IF($I203="","⚠️ Unknown code",_xlfn.XLOOKUP($I203,'Item Master'!$A$4:$A$53,'Item Master'!$C$4:$C$53,"")))</f>
        <v/>
      </c>
      <c r="F203" s="49" t="n"/>
      <c r="G203" s="36">
        <f>IF($I203="","",_xlfn.XLOOKUP($I203,'Item Master'!$A$4:$A$53,'Item Master'!$E$4:$E$53,0))</f>
        <v/>
      </c>
      <c r="H203" s="50">
        <f>IF($I203="","",$F203*$G203)</f>
        <v/>
      </c>
      <c r="I203" s="51">
        <f>IF($C203="","",IF(COUNTIF('Item Master'!$A$4:$A$53,$C203)&gt;0,$C203,_xlfn.XLOOKUP($C203,'Item Master'!$B$4:$B$53,'Item Master'!$A$4:$A$53,"")))</f>
        <v/>
      </c>
    </row>
    <row r="204" ht="32" customHeight="1">
      <c r="A204" s="47" t="n"/>
      <c r="B204" s="46" t="n"/>
      <c r="C204" s="46" t="n"/>
      <c r="D204" s="46" t="n"/>
      <c r="E204" s="31">
        <f>IF($C204="","",IF($I204="","⚠️ Unknown code",_xlfn.XLOOKUP($I204,'Item Master'!$A$4:$A$53,'Item Master'!$C$4:$C$53,"")))</f>
        <v/>
      </c>
      <c r="F204" s="49" t="n"/>
      <c r="G204" s="36">
        <f>IF($I204="","",_xlfn.XLOOKUP($I204,'Item Master'!$A$4:$A$53,'Item Master'!$E$4:$E$53,0))</f>
        <v/>
      </c>
      <c r="H204" s="50">
        <f>IF($I204="","",$F204*$G204)</f>
        <v/>
      </c>
      <c r="I204" s="51">
        <f>IF($C204="","",IF(COUNTIF('Item Master'!$A$4:$A$53,$C204)&gt;0,$C204,_xlfn.XLOOKUP($C204,'Item Master'!$B$4:$B$53,'Item Master'!$A$4:$A$53,"")))</f>
        <v/>
      </c>
    </row>
    <row r="205" ht="32" customHeight="1">
      <c r="A205" s="47" t="n"/>
      <c r="B205" s="46" t="n"/>
      <c r="C205" s="46" t="n"/>
      <c r="D205" s="46" t="n"/>
      <c r="E205" s="31">
        <f>IF($C205="","",IF($I205="","⚠️ Unknown code",_xlfn.XLOOKUP($I205,'Item Master'!$A$4:$A$53,'Item Master'!$C$4:$C$53,"")))</f>
        <v/>
      </c>
      <c r="F205" s="49" t="n"/>
      <c r="G205" s="36">
        <f>IF($I205="","",_xlfn.XLOOKUP($I205,'Item Master'!$A$4:$A$53,'Item Master'!$E$4:$E$53,0))</f>
        <v/>
      </c>
      <c r="H205" s="50">
        <f>IF($I205="","",$F205*$G205)</f>
        <v/>
      </c>
      <c r="I205" s="51">
        <f>IF($C205="","",IF(COUNTIF('Item Master'!$A$4:$A$53,$C205)&gt;0,$C205,_xlfn.XLOOKUP($C205,'Item Master'!$B$4:$B$53,'Item Master'!$A$4:$A$53,"")))</f>
        <v/>
      </c>
    </row>
    <row r="206" ht="32" customHeight="1">
      <c r="A206" s="47" t="n"/>
      <c r="B206" s="46" t="n"/>
      <c r="C206" s="46" t="n"/>
      <c r="D206" s="46" t="n"/>
      <c r="E206" s="31">
        <f>IF($C206="","",IF($I206="","⚠️ Unknown code",_xlfn.XLOOKUP($I206,'Item Master'!$A$4:$A$53,'Item Master'!$C$4:$C$53,"")))</f>
        <v/>
      </c>
      <c r="F206" s="49" t="n"/>
      <c r="G206" s="36">
        <f>IF($I206="","",_xlfn.XLOOKUP($I206,'Item Master'!$A$4:$A$53,'Item Master'!$E$4:$E$53,0))</f>
        <v/>
      </c>
      <c r="H206" s="50">
        <f>IF($I206="","",$F206*$G206)</f>
        <v/>
      </c>
      <c r="I206" s="51">
        <f>IF($C206="","",IF(COUNTIF('Item Master'!$A$4:$A$53,$C206)&gt;0,$C206,_xlfn.XLOOKUP($C206,'Item Master'!$B$4:$B$53,'Item Master'!$A$4:$A$53,"")))</f>
        <v/>
      </c>
    </row>
    <row r="207" ht="32" customHeight="1">
      <c r="A207" s="47" t="n"/>
      <c r="B207" s="46" t="n"/>
      <c r="C207" s="46" t="n"/>
      <c r="D207" s="46" t="n"/>
      <c r="E207" s="31">
        <f>IF($C207="","",IF($I207="","⚠️ Unknown code",_xlfn.XLOOKUP($I207,'Item Master'!$A$4:$A$53,'Item Master'!$C$4:$C$53,"")))</f>
        <v/>
      </c>
      <c r="F207" s="49" t="n"/>
      <c r="G207" s="36">
        <f>IF($I207="","",_xlfn.XLOOKUP($I207,'Item Master'!$A$4:$A$53,'Item Master'!$E$4:$E$53,0))</f>
        <v/>
      </c>
      <c r="H207" s="50">
        <f>IF($I207="","",$F207*$G207)</f>
        <v/>
      </c>
      <c r="I207" s="51">
        <f>IF($C207="","",IF(COUNTIF('Item Master'!$A$4:$A$53,$C207)&gt;0,$C207,_xlfn.XLOOKUP($C207,'Item Master'!$B$4:$B$53,'Item Master'!$A$4:$A$53,"")))</f>
        <v/>
      </c>
    </row>
    <row r="20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</row>
    <row r="20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</row>
    <row r="210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</row>
    <row r="21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</row>
    <row r="212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</row>
    <row r="213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</row>
    <row r="214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</row>
    <row r="215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</row>
    <row r="216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</row>
    <row r="21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</row>
    <row r="21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</row>
    <row r="21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</row>
    <row r="220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</row>
    <row r="22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</row>
    <row r="222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</row>
    <row r="223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</row>
    <row r="224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</row>
    <row r="225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</row>
    <row r="226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</row>
    <row r="227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</row>
    <row r="2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</row>
    <row r="22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</row>
    <row r="230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</row>
    <row r="2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</row>
    <row r="232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</row>
    <row r="233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</row>
    <row r="234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</row>
    <row r="235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</row>
    <row r="236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</row>
    <row r="237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</row>
    <row r="23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</row>
    <row r="23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</row>
    <row r="240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</row>
    <row r="2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</row>
    <row r="242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</row>
    <row r="243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</row>
    <row r="244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</row>
    <row r="245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</row>
    <row r="246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</row>
    <row r="247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</row>
    <row r="24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</row>
    <row r="24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</row>
    <row r="250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</row>
    <row r="25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</row>
    <row r="252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</row>
    <row r="253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</row>
    <row r="254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</row>
    <row r="255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</row>
    <row r="256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</row>
    <row r="257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</row>
    <row r="25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</row>
    <row r="2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</row>
    <row r="260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</row>
    <row r="26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</row>
    <row r="262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</row>
    <row r="263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</row>
    <row r="264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</row>
    <row r="265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</row>
    <row r="266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</row>
    <row r="267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</row>
    <row r="26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</row>
    <row r="26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</row>
    <row r="270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</row>
    <row r="2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</row>
    <row r="272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</row>
    <row r="273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</row>
    <row r="274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</row>
    <row r="275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</row>
    <row r="276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</row>
    <row r="277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</row>
    <row r="27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</row>
    <row r="27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</row>
    <row r="280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</row>
    <row r="28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</row>
    <row r="282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</row>
    <row r="283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</row>
    <row r="284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</row>
    <row r="285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</row>
    <row r="286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</row>
    <row r="287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</row>
    <row r="28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</row>
    <row r="28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</row>
    <row r="290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</row>
    <row r="29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</row>
    <row r="292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</row>
    <row r="293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</row>
    <row r="294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</row>
    <row r="295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</row>
    <row r="296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</row>
    <row r="297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</row>
    <row r="29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</row>
    <row r="29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</row>
    <row r="300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</row>
    <row r="30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</row>
    <row r="302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</row>
    <row r="303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</row>
    <row r="304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</row>
    <row r="305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</row>
    <row r="306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</row>
    <row r="307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</row>
    <row r="30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</row>
    <row r="30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</row>
    <row r="310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</row>
    <row r="31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</row>
    <row r="312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</row>
    <row r="313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</row>
    <row r="314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</row>
    <row r="315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</row>
    <row r="316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</row>
    <row r="317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</row>
    <row r="31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</row>
    <row r="31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</row>
    <row r="320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</row>
    <row r="32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</row>
    <row r="322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</row>
    <row r="323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</row>
    <row r="324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</row>
    <row r="325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</row>
    <row r="326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</row>
    <row r="327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</row>
    <row r="3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</row>
    <row r="32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</row>
    <row r="330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</row>
    <row r="3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</row>
    <row r="332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</row>
    <row r="333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</row>
    <row r="334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</row>
    <row r="335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</row>
    <row r="336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</row>
    <row r="337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</row>
    <row r="33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</row>
    <row r="33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</row>
  </sheetData>
  <mergeCells count="4">
    <mergeCell ref="A4:H4"/>
    <mergeCell ref="F1:G1"/>
    <mergeCell ref="A6:H6"/>
    <mergeCell ref="A5:H5"/>
  </mergeCells>
  <conditionalFormatting sqref="D8:D207">
    <cfRule type="expression" priority="1" dxfId="6">
      <formula>$D8="IN"</formula>
    </cfRule>
    <cfRule type="expression" priority="2" dxfId="7">
      <formula>$D8="SHRINKAGE"</formula>
    </cfRule>
  </conditionalFormatting>
  <conditionalFormatting sqref="E8:E207">
    <cfRule type="expression" priority="3" dxfId="0">
      <formula>$E8="⚠️ Unknown code"</formula>
    </cfRule>
  </conditionalFormatting>
  <dataValidations count="2">
    <dataValidation sqref="C8:C207" showDropDown="0" showInputMessage="0" showErrorMessage="0" allowBlank="1" promptTitle="🔎 Scan or select" prompt="Pick, type the first letters, or scan the barcode." type="list">
      <formula1>SKU_List</formula1>
    </dataValidation>
    <dataValidation sqref="D8:D207" showDropDown="0" showInputMessage="0" showErrorMessage="0" allowBlank="1" errorTitle="Invalid type" error="Choose IN or SHRINKAGE." promptTitle="🔄 Movement type" prompt="IN = received from supplier · SHRINKAGE = damaged, lost or stolen" type="list">
      <formula1>"IN,SHRINKAGE"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730A3"/>
    <outlinePr summaryBelow="1" summaryRight="1"/>
    <pageSetUpPr/>
  </sheetPr>
  <dimension ref="A1:K339"/>
  <sheetViews>
    <sheetView showGridLines="0" showRowColHeaders="0" tabSelected="0" zoomScale="10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22" customWidth="1" min="3" max="3"/>
    <col width="16" customWidth="1" min="4" max="4"/>
    <col width="24" customWidth="1" min="5" max="5"/>
    <col width="9" customWidth="1" min="6" max="6"/>
    <col width="11" customWidth="1" min="7" max="7"/>
    <col width="13" customWidth="1" min="8" max="8"/>
    <col width="11" customWidth="1" min="9" max="9"/>
    <col width="13" customWidth="1" min="10" max="10"/>
    <col hidden="1" width="14" customWidth="1" min="11" max="11"/>
  </cols>
  <sheetData>
    <row r="1" ht="40" customHeight="1">
      <c r="A1" s="1">
        <f>HYPERLINK("#'Dashboard'!A1","🏠 Home")</f>
        <v/>
      </c>
      <c r="B1" s="1">
        <f>HYPERLINK("#'Item Master'!A1","📦 Items")</f>
        <v/>
      </c>
      <c r="D1" s="1">
        <f>HYPERLINK("#'Log Sale'!A1","🛒 New Sale")</f>
        <v/>
      </c>
      <c r="E1" s="1">
        <f>HYPERLINK("#'Stock In'!A1","📥 Stock In")</f>
        <v/>
      </c>
      <c r="F1" s="1">
        <f>HYPERLINK("#'Invoice Generator'!A1","🧾 Invoice")</f>
        <v/>
      </c>
      <c r="H1" s="1">
        <f>HYPERLINK("#'Sales Log'!A1","📊 Logs")</f>
        <v/>
      </c>
      <c r="J1" s="15" t="n"/>
      <c r="K1" s="15" t="n"/>
    </row>
    <row r="2" ht="6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</row>
    <row r="4" ht="20" customHeight="1">
      <c r="A4" s="16" t="inlineStr">
        <is>
          <t>HEADER LOG</t>
        </is>
      </c>
      <c r="K4" s="3" t="n"/>
    </row>
    <row r="5" ht="34" customHeight="1">
      <c r="A5" s="17" t="inlineStr">
        <is>
          <t>📊 Sales Log</t>
        </is>
      </c>
      <c r="K5" s="3" t="n"/>
    </row>
    <row r="6" ht="20" customHeight="1">
      <c r="A6" s="18" t="inlineStr">
        <is>
          <t>One row per invoice — written automatically the moment a sale is entered on the Sell screen.</t>
        </is>
      </c>
      <c r="K6" s="3" t="n"/>
    </row>
    <row r="7" ht="38" customHeight="1">
      <c r="A7" s="29" t="inlineStr">
        <is>
          <t>🧾 Invoice No</t>
        </is>
      </c>
      <c r="B7" s="29" t="inlineStr">
        <is>
          <t>📅 Date</t>
        </is>
      </c>
      <c r="C7" s="29" t="inlineStr">
        <is>
          <t>👤 Customer</t>
        </is>
      </c>
      <c r="D7" s="29" t="inlineStr">
        <is>
          <t>📞 Phone</t>
        </is>
      </c>
      <c r="E7" s="29" t="inlineStr">
        <is>
          <t>✉️ Email</t>
        </is>
      </c>
      <c r="F7" s="29" t="inlineStr">
        <is>
          <t>📦 Items</t>
        </is>
      </c>
      <c r="G7" s="29" t="inlineStr">
        <is>
          <t>🔢 Qty</t>
        </is>
      </c>
      <c r="H7" s="29" t="inlineStr">
        <is>
          <t>💵 Subtotal</t>
        </is>
      </c>
      <c r="I7" s="29" t="inlineStr">
        <is>
          <t>🧾 Tax</t>
        </is>
      </c>
      <c r="J7" s="29" t="inlineStr">
        <is>
          <t>💰 Amount</t>
        </is>
      </c>
      <c r="K7" s="51" t="inlineStr">
        <is>
          <t>LATEST</t>
        </is>
      </c>
    </row>
    <row r="8" ht="32" customHeight="1">
      <c r="A8" s="48">
        <f>IF(COUNTIF('Log Sale'!$C$9:$C$308,Settings!$C$14&amp;TEXT(1000+ROW()-7,"0000"))=0,"",Settings!$C$14&amp;TEXT(1000+ROW()-7,"0000"))</f>
        <v/>
      </c>
      <c r="B8" s="53">
        <f>IF($A8="","",_xlfn.MAXIFS('Log Sale'!$B$9:$B$308,'Log Sale'!$C$9:$C$308,$A8))</f>
        <v/>
      </c>
      <c r="C8" s="39" t="n"/>
      <c r="D8" s="42" t="n"/>
      <c r="E8" s="39" t="n"/>
      <c r="F8" s="32">
        <f>IF($A8="","",COUNTIF('Log Sale'!$C$9:$C$308,$A8))</f>
        <v/>
      </c>
      <c r="G8" s="54">
        <f>IF($A8="","",SUMIF('Log Sale'!$C$9:$C$308,$A8,'Log Sale'!$K$9:$K$308))</f>
        <v/>
      </c>
      <c r="H8" s="55">
        <f>IF($A8="","",SUMIF('Log Sale'!$C$9:$C$308,$A8,'Log Sale'!$H$9:$H$308))</f>
        <v/>
      </c>
      <c r="I8" s="36">
        <f>IF($A8="","",$H8*Settings!$C$12)</f>
        <v/>
      </c>
      <c r="J8" s="56">
        <f>IF($A8="","",$H8+$I8)</f>
        <v/>
      </c>
      <c r="K8" s="57">
        <f>IF($A8="","",$A8)</f>
        <v/>
      </c>
    </row>
    <row r="9" ht="32" customHeight="1">
      <c r="A9" s="48">
        <f>IF(COUNTIF('Log Sale'!$C$9:$C$308,Settings!$C$14&amp;TEXT(1000+ROW()-7,"0000"))=0,"",Settings!$C$14&amp;TEXT(1000+ROW()-7,"0000"))</f>
        <v/>
      </c>
      <c r="B9" s="53">
        <f>IF($A9="","",_xlfn.MAXIFS('Log Sale'!$B$9:$B$308,'Log Sale'!$C$9:$C$308,$A9))</f>
        <v/>
      </c>
      <c r="C9" s="39" t="n"/>
      <c r="D9" s="42" t="n"/>
      <c r="E9" s="39" t="n"/>
      <c r="F9" s="32">
        <f>IF($A9="","",COUNTIF('Log Sale'!$C$9:$C$308,$A9))</f>
        <v/>
      </c>
      <c r="G9" s="54">
        <f>IF($A9="","",SUMIF('Log Sale'!$C$9:$C$308,$A9,'Log Sale'!$K$9:$K$308))</f>
        <v/>
      </c>
      <c r="H9" s="55">
        <f>IF($A9="","",SUMIF('Log Sale'!$C$9:$C$308,$A9,'Log Sale'!$H$9:$H$308))</f>
        <v/>
      </c>
      <c r="I9" s="36">
        <f>IF($A9="","",$H9*Settings!$C$12)</f>
        <v/>
      </c>
      <c r="J9" s="56">
        <f>IF($A9="","",$H9+$I9)</f>
        <v/>
      </c>
      <c r="K9" s="57">
        <f>IF($A9="","",$A9)</f>
        <v/>
      </c>
    </row>
    <row r="10" ht="32" customHeight="1">
      <c r="A10" s="48">
        <f>IF(COUNTIF('Log Sale'!$C$9:$C$308,Settings!$C$14&amp;TEXT(1000+ROW()-7,"0000"))=0,"",Settings!$C$14&amp;TEXT(1000+ROW()-7,"0000"))</f>
        <v/>
      </c>
      <c r="B10" s="53">
        <f>IF($A10="","",_xlfn.MAXIFS('Log Sale'!$B$9:$B$308,'Log Sale'!$C$9:$C$308,$A10))</f>
        <v/>
      </c>
      <c r="C10" s="39" t="n"/>
      <c r="D10" s="42" t="n"/>
      <c r="E10" s="39" t="n"/>
      <c r="F10" s="32">
        <f>IF($A10="","",COUNTIF('Log Sale'!$C$9:$C$308,$A10))</f>
        <v/>
      </c>
      <c r="G10" s="54">
        <f>IF($A10="","",SUMIF('Log Sale'!$C$9:$C$308,$A10,'Log Sale'!$K$9:$K$308))</f>
        <v/>
      </c>
      <c r="H10" s="55">
        <f>IF($A10="","",SUMIF('Log Sale'!$C$9:$C$308,$A10,'Log Sale'!$H$9:$H$308))</f>
        <v/>
      </c>
      <c r="I10" s="36">
        <f>IF($A10="","",$H10*Settings!$C$12)</f>
        <v/>
      </c>
      <c r="J10" s="56">
        <f>IF($A10="","",$H10+$I10)</f>
        <v/>
      </c>
      <c r="K10" s="57">
        <f>IF($A10="","",$A10)</f>
        <v/>
      </c>
    </row>
    <row r="11" ht="32" customHeight="1">
      <c r="A11" s="48">
        <f>IF(COUNTIF('Log Sale'!$C$9:$C$308,Settings!$C$14&amp;TEXT(1000+ROW()-7,"0000"))=0,"",Settings!$C$14&amp;TEXT(1000+ROW()-7,"0000"))</f>
        <v/>
      </c>
      <c r="B11" s="53">
        <f>IF($A11="","",_xlfn.MAXIFS('Log Sale'!$B$9:$B$308,'Log Sale'!$C$9:$C$308,$A11))</f>
        <v/>
      </c>
      <c r="C11" s="39" t="n"/>
      <c r="D11" s="42" t="n"/>
      <c r="E11" s="39" t="n"/>
      <c r="F11" s="32">
        <f>IF($A11="","",COUNTIF('Log Sale'!$C$9:$C$308,$A11))</f>
        <v/>
      </c>
      <c r="G11" s="54">
        <f>IF($A11="","",SUMIF('Log Sale'!$C$9:$C$308,$A11,'Log Sale'!$K$9:$K$308))</f>
        <v/>
      </c>
      <c r="H11" s="55">
        <f>IF($A11="","",SUMIF('Log Sale'!$C$9:$C$308,$A11,'Log Sale'!$H$9:$H$308))</f>
        <v/>
      </c>
      <c r="I11" s="36">
        <f>IF($A11="","",$H11*Settings!$C$12)</f>
        <v/>
      </c>
      <c r="J11" s="56">
        <f>IF($A11="","",$H11+$I11)</f>
        <v/>
      </c>
      <c r="K11" s="57">
        <f>IF($A11="","",$A11)</f>
        <v/>
      </c>
    </row>
    <row r="12" ht="32" customHeight="1">
      <c r="A12" s="48">
        <f>IF(COUNTIF('Log Sale'!$C$9:$C$308,Settings!$C$14&amp;TEXT(1000+ROW()-7,"0000"))=0,"",Settings!$C$14&amp;TEXT(1000+ROW()-7,"0000"))</f>
        <v/>
      </c>
      <c r="B12" s="53">
        <f>IF($A12="","",_xlfn.MAXIFS('Log Sale'!$B$9:$B$308,'Log Sale'!$C$9:$C$308,$A12))</f>
        <v/>
      </c>
      <c r="C12" s="39" t="n"/>
      <c r="D12" s="42" t="n"/>
      <c r="E12" s="39" t="n"/>
      <c r="F12" s="32">
        <f>IF($A12="","",COUNTIF('Log Sale'!$C$9:$C$308,$A12))</f>
        <v/>
      </c>
      <c r="G12" s="54">
        <f>IF($A12="","",SUMIF('Log Sale'!$C$9:$C$308,$A12,'Log Sale'!$K$9:$K$308))</f>
        <v/>
      </c>
      <c r="H12" s="55">
        <f>IF($A12="","",SUMIF('Log Sale'!$C$9:$C$308,$A12,'Log Sale'!$H$9:$H$308))</f>
        <v/>
      </c>
      <c r="I12" s="36">
        <f>IF($A12="","",$H12*Settings!$C$12)</f>
        <v/>
      </c>
      <c r="J12" s="56">
        <f>IF($A12="","",$H12+$I12)</f>
        <v/>
      </c>
      <c r="K12" s="57">
        <f>IF($A12="","",$A12)</f>
        <v/>
      </c>
    </row>
    <row r="13" ht="32" customHeight="1">
      <c r="A13" s="48">
        <f>IF(COUNTIF('Log Sale'!$C$9:$C$308,Settings!$C$14&amp;TEXT(1000+ROW()-7,"0000"))=0,"",Settings!$C$14&amp;TEXT(1000+ROW()-7,"0000"))</f>
        <v/>
      </c>
      <c r="B13" s="53">
        <f>IF($A13="","",_xlfn.MAXIFS('Log Sale'!$B$9:$B$308,'Log Sale'!$C$9:$C$308,$A13))</f>
        <v/>
      </c>
      <c r="C13" s="39" t="n"/>
      <c r="D13" s="42" t="n"/>
      <c r="E13" s="39" t="n"/>
      <c r="F13" s="32">
        <f>IF($A13="","",COUNTIF('Log Sale'!$C$9:$C$308,$A13))</f>
        <v/>
      </c>
      <c r="G13" s="54">
        <f>IF($A13="","",SUMIF('Log Sale'!$C$9:$C$308,$A13,'Log Sale'!$K$9:$K$308))</f>
        <v/>
      </c>
      <c r="H13" s="55">
        <f>IF($A13="","",SUMIF('Log Sale'!$C$9:$C$308,$A13,'Log Sale'!$H$9:$H$308))</f>
        <v/>
      </c>
      <c r="I13" s="36">
        <f>IF($A13="","",$H13*Settings!$C$12)</f>
        <v/>
      </c>
      <c r="J13" s="56">
        <f>IF($A13="","",$H13+$I13)</f>
        <v/>
      </c>
      <c r="K13" s="57">
        <f>IF($A13="","",$A13)</f>
        <v/>
      </c>
    </row>
    <row r="14" ht="32" customHeight="1">
      <c r="A14" s="48">
        <f>IF(COUNTIF('Log Sale'!$C$9:$C$308,Settings!$C$14&amp;TEXT(1000+ROW()-7,"0000"))=0,"",Settings!$C$14&amp;TEXT(1000+ROW()-7,"0000"))</f>
        <v/>
      </c>
      <c r="B14" s="53">
        <f>IF($A14="","",_xlfn.MAXIFS('Log Sale'!$B$9:$B$308,'Log Sale'!$C$9:$C$308,$A14))</f>
        <v/>
      </c>
      <c r="C14" s="39" t="n"/>
      <c r="D14" s="42" t="n"/>
      <c r="E14" s="39" t="n"/>
      <c r="F14" s="32">
        <f>IF($A14="","",COUNTIF('Log Sale'!$C$9:$C$308,$A14))</f>
        <v/>
      </c>
      <c r="G14" s="54">
        <f>IF($A14="","",SUMIF('Log Sale'!$C$9:$C$308,$A14,'Log Sale'!$K$9:$K$308))</f>
        <v/>
      </c>
      <c r="H14" s="55">
        <f>IF($A14="","",SUMIF('Log Sale'!$C$9:$C$308,$A14,'Log Sale'!$H$9:$H$308))</f>
        <v/>
      </c>
      <c r="I14" s="36">
        <f>IF($A14="","",$H14*Settings!$C$12)</f>
        <v/>
      </c>
      <c r="J14" s="56">
        <f>IF($A14="","",$H14+$I14)</f>
        <v/>
      </c>
      <c r="K14" s="57">
        <f>IF($A14="","",$A14)</f>
        <v/>
      </c>
    </row>
    <row r="15" ht="32" customHeight="1">
      <c r="A15" s="48">
        <f>IF(COUNTIF('Log Sale'!$C$9:$C$308,Settings!$C$14&amp;TEXT(1000+ROW()-7,"0000"))=0,"",Settings!$C$14&amp;TEXT(1000+ROW()-7,"0000"))</f>
        <v/>
      </c>
      <c r="B15" s="53">
        <f>IF($A15="","",_xlfn.MAXIFS('Log Sale'!$B$9:$B$308,'Log Sale'!$C$9:$C$308,$A15))</f>
        <v/>
      </c>
      <c r="C15" s="39" t="n"/>
      <c r="D15" s="42" t="n"/>
      <c r="E15" s="39" t="n"/>
      <c r="F15" s="32">
        <f>IF($A15="","",COUNTIF('Log Sale'!$C$9:$C$308,$A15))</f>
        <v/>
      </c>
      <c r="G15" s="54">
        <f>IF($A15="","",SUMIF('Log Sale'!$C$9:$C$308,$A15,'Log Sale'!$K$9:$K$308))</f>
        <v/>
      </c>
      <c r="H15" s="55">
        <f>IF($A15="","",SUMIF('Log Sale'!$C$9:$C$308,$A15,'Log Sale'!$H$9:$H$308))</f>
        <v/>
      </c>
      <c r="I15" s="36">
        <f>IF($A15="","",$H15*Settings!$C$12)</f>
        <v/>
      </c>
      <c r="J15" s="56">
        <f>IF($A15="","",$H15+$I15)</f>
        <v/>
      </c>
      <c r="K15" s="57">
        <f>IF($A15="","",$A15)</f>
        <v/>
      </c>
    </row>
    <row r="16" ht="32" customHeight="1">
      <c r="A16" s="48">
        <f>IF(COUNTIF('Log Sale'!$C$9:$C$308,Settings!$C$14&amp;TEXT(1000+ROW()-7,"0000"))=0,"",Settings!$C$14&amp;TEXT(1000+ROW()-7,"0000"))</f>
        <v/>
      </c>
      <c r="B16" s="53">
        <f>IF($A16="","",_xlfn.MAXIFS('Log Sale'!$B$9:$B$308,'Log Sale'!$C$9:$C$308,$A16))</f>
        <v/>
      </c>
      <c r="C16" s="39" t="n"/>
      <c r="D16" s="42" t="n"/>
      <c r="E16" s="39" t="n"/>
      <c r="F16" s="32">
        <f>IF($A16="","",COUNTIF('Log Sale'!$C$9:$C$308,$A16))</f>
        <v/>
      </c>
      <c r="G16" s="54">
        <f>IF($A16="","",SUMIF('Log Sale'!$C$9:$C$308,$A16,'Log Sale'!$K$9:$K$308))</f>
        <v/>
      </c>
      <c r="H16" s="55">
        <f>IF($A16="","",SUMIF('Log Sale'!$C$9:$C$308,$A16,'Log Sale'!$H$9:$H$308))</f>
        <v/>
      </c>
      <c r="I16" s="36">
        <f>IF($A16="","",$H16*Settings!$C$12)</f>
        <v/>
      </c>
      <c r="J16" s="56">
        <f>IF($A16="","",$H16+$I16)</f>
        <v/>
      </c>
      <c r="K16" s="57">
        <f>IF($A16="","",$A16)</f>
        <v/>
      </c>
    </row>
    <row r="17" ht="32" customHeight="1">
      <c r="A17" s="48">
        <f>IF(COUNTIF('Log Sale'!$C$9:$C$308,Settings!$C$14&amp;TEXT(1000+ROW()-7,"0000"))=0,"",Settings!$C$14&amp;TEXT(1000+ROW()-7,"0000"))</f>
        <v/>
      </c>
      <c r="B17" s="53">
        <f>IF($A17="","",_xlfn.MAXIFS('Log Sale'!$B$9:$B$308,'Log Sale'!$C$9:$C$308,$A17))</f>
        <v/>
      </c>
      <c r="C17" s="39" t="n"/>
      <c r="D17" s="42" t="n"/>
      <c r="E17" s="39" t="n"/>
      <c r="F17" s="32">
        <f>IF($A17="","",COUNTIF('Log Sale'!$C$9:$C$308,$A17))</f>
        <v/>
      </c>
      <c r="G17" s="54">
        <f>IF($A17="","",SUMIF('Log Sale'!$C$9:$C$308,$A17,'Log Sale'!$K$9:$K$308))</f>
        <v/>
      </c>
      <c r="H17" s="55">
        <f>IF($A17="","",SUMIF('Log Sale'!$C$9:$C$308,$A17,'Log Sale'!$H$9:$H$308))</f>
        <v/>
      </c>
      <c r="I17" s="36">
        <f>IF($A17="","",$H17*Settings!$C$12)</f>
        <v/>
      </c>
      <c r="J17" s="56">
        <f>IF($A17="","",$H17+$I17)</f>
        <v/>
      </c>
      <c r="K17" s="57">
        <f>IF($A17="","",$A17)</f>
        <v/>
      </c>
    </row>
    <row r="18" ht="32" customHeight="1">
      <c r="A18" s="48">
        <f>IF(COUNTIF('Log Sale'!$C$9:$C$308,Settings!$C$14&amp;TEXT(1000+ROW()-7,"0000"))=0,"",Settings!$C$14&amp;TEXT(1000+ROW()-7,"0000"))</f>
        <v/>
      </c>
      <c r="B18" s="53">
        <f>IF($A18="","",_xlfn.MAXIFS('Log Sale'!$B$9:$B$308,'Log Sale'!$C$9:$C$308,$A18))</f>
        <v/>
      </c>
      <c r="C18" s="39" t="n"/>
      <c r="D18" s="42" t="n"/>
      <c r="E18" s="39" t="n"/>
      <c r="F18" s="32">
        <f>IF($A18="","",COUNTIF('Log Sale'!$C$9:$C$308,$A18))</f>
        <v/>
      </c>
      <c r="G18" s="54">
        <f>IF($A18="","",SUMIF('Log Sale'!$C$9:$C$308,$A18,'Log Sale'!$K$9:$K$308))</f>
        <v/>
      </c>
      <c r="H18" s="55">
        <f>IF($A18="","",SUMIF('Log Sale'!$C$9:$C$308,$A18,'Log Sale'!$H$9:$H$308))</f>
        <v/>
      </c>
      <c r="I18" s="36">
        <f>IF($A18="","",$H18*Settings!$C$12)</f>
        <v/>
      </c>
      <c r="J18" s="56">
        <f>IF($A18="","",$H18+$I18)</f>
        <v/>
      </c>
      <c r="K18" s="57">
        <f>IF($A18="","",$A18)</f>
        <v/>
      </c>
    </row>
    <row r="19" ht="32" customHeight="1">
      <c r="A19" s="48">
        <f>IF(COUNTIF('Log Sale'!$C$9:$C$308,Settings!$C$14&amp;TEXT(1000+ROW()-7,"0000"))=0,"",Settings!$C$14&amp;TEXT(1000+ROW()-7,"0000"))</f>
        <v/>
      </c>
      <c r="B19" s="53">
        <f>IF($A19="","",_xlfn.MAXIFS('Log Sale'!$B$9:$B$308,'Log Sale'!$C$9:$C$308,$A19))</f>
        <v/>
      </c>
      <c r="C19" s="39" t="n"/>
      <c r="D19" s="42" t="n"/>
      <c r="E19" s="39" t="n"/>
      <c r="F19" s="32">
        <f>IF($A19="","",COUNTIF('Log Sale'!$C$9:$C$308,$A19))</f>
        <v/>
      </c>
      <c r="G19" s="54">
        <f>IF($A19="","",SUMIF('Log Sale'!$C$9:$C$308,$A19,'Log Sale'!$K$9:$K$308))</f>
        <v/>
      </c>
      <c r="H19" s="55">
        <f>IF($A19="","",SUMIF('Log Sale'!$C$9:$C$308,$A19,'Log Sale'!$H$9:$H$308))</f>
        <v/>
      </c>
      <c r="I19" s="36">
        <f>IF($A19="","",$H19*Settings!$C$12)</f>
        <v/>
      </c>
      <c r="J19" s="56">
        <f>IF($A19="","",$H19+$I19)</f>
        <v/>
      </c>
      <c r="K19" s="57">
        <f>IF($A19="","",$A19)</f>
        <v/>
      </c>
    </row>
    <row r="20" ht="32" customHeight="1">
      <c r="A20" s="48">
        <f>IF(COUNTIF('Log Sale'!$C$9:$C$308,Settings!$C$14&amp;TEXT(1000+ROW()-7,"0000"))=0,"",Settings!$C$14&amp;TEXT(1000+ROW()-7,"0000"))</f>
        <v/>
      </c>
      <c r="B20" s="53">
        <f>IF($A20="","",_xlfn.MAXIFS('Log Sale'!$B$9:$B$308,'Log Sale'!$C$9:$C$308,$A20))</f>
        <v/>
      </c>
      <c r="C20" s="39" t="n"/>
      <c r="D20" s="42" t="n"/>
      <c r="E20" s="39" t="n"/>
      <c r="F20" s="32">
        <f>IF($A20="","",COUNTIF('Log Sale'!$C$9:$C$308,$A20))</f>
        <v/>
      </c>
      <c r="G20" s="54">
        <f>IF($A20="","",SUMIF('Log Sale'!$C$9:$C$308,$A20,'Log Sale'!$K$9:$K$308))</f>
        <v/>
      </c>
      <c r="H20" s="55">
        <f>IF($A20="","",SUMIF('Log Sale'!$C$9:$C$308,$A20,'Log Sale'!$H$9:$H$308))</f>
        <v/>
      </c>
      <c r="I20" s="36">
        <f>IF($A20="","",$H20*Settings!$C$12)</f>
        <v/>
      </c>
      <c r="J20" s="56">
        <f>IF($A20="","",$H20+$I20)</f>
        <v/>
      </c>
      <c r="K20" s="57">
        <f>IF($A20="","",$A20)</f>
        <v/>
      </c>
    </row>
    <row r="21" ht="32" customHeight="1">
      <c r="A21" s="48">
        <f>IF(COUNTIF('Log Sale'!$C$9:$C$308,Settings!$C$14&amp;TEXT(1000+ROW()-7,"0000"))=0,"",Settings!$C$14&amp;TEXT(1000+ROW()-7,"0000"))</f>
        <v/>
      </c>
      <c r="B21" s="53">
        <f>IF($A21="","",_xlfn.MAXIFS('Log Sale'!$B$9:$B$308,'Log Sale'!$C$9:$C$308,$A21))</f>
        <v/>
      </c>
      <c r="C21" s="39" t="n"/>
      <c r="D21" s="42" t="n"/>
      <c r="E21" s="39" t="n"/>
      <c r="F21" s="32">
        <f>IF($A21="","",COUNTIF('Log Sale'!$C$9:$C$308,$A21))</f>
        <v/>
      </c>
      <c r="G21" s="54">
        <f>IF($A21="","",SUMIF('Log Sale'!$C$9:$C$308,$A21,'Log Sale'!$K$9:$K$308))</f>
        <v/>
      </c>
      <c r="H21" s="55">
        <f>IF($A21="","",SUMIF('Log Sale'!$C$9:$C$308,$A21,'Log Sale'!$H$9:$H$308))</f>
        <v/>
      </c>
      <c r="I21" s="36">
        <f>IF($A21="","",$H21*Settings!$C$12)</f>
        <v/>
      </c>
      <c r="J21" s="56">
        <f>IF($A21="","",$H21+$I21)</f>
        <v/>
      </c>
      <c r="K21" s="57">
        <f>IF($A21="","",$A21)</f>
        <v/>
      </c>
    </row>
    <row r="22" ht="32" customHeight="1">
      <c r="A22" s="48">
        <f>IF(COUNTIF('Log Sale'!$C$9:$C$308,Settings!$C$14&amp;TEXT(1000+ROW()-7,"0000"))=0,"",Settings!$C$14&amp;TEXT(1000+ROW()-7,"0000"))</f>
        <v/>
      </c>
      <c r="B22" s="53">
        <f>IF($A22="","",_xlfn.MAXIFS('Log Sale'!$B$9:$B$308,'Log Sale'!$C$9:$C$308,$A22))</f>
        <v/>
      </c>
      <c r="C22" s="39" t="n"/>
      <c r="D22" s="42" t="n"/>
      <c r="E22" s="39" t="n"/>
      <c r="F22" s="32">
        <f>IF($A22="","",COUNTIF('Log Sale'!$C$9:$C$308,$A22))</f>
        <v/>
      </c>
      <c r="G22" s="54">
        <f>IF($A22="","",SUMIF('Log Sale'!$C$9:$C$308,$A22,'Log Sale'!$K$9:$K$308))</f>
        <v/>
      </c>
      <c r="H22" s="55">
        <f>IF($A22="","",SUMIF('Log Sale'!$C$9:$C$308,$A22,'Log Sale'!$H$9:$H$308))</f>
        <v/>
      </c>
      <c r="I22" s="36">
        <f>IF($A22="","",$H22*Settings!$C$12)</f>
        <v/>
      </c>
      <c r="J22" s="56">
        <f>IF($A22="","",$H22+$I22)</f>
        <v/>
      </c>
      <c r="K22" s="57">
        <f>IF($A22="","",$A22)</f>
        <v/>
      </c>
    </row>
    <row r="23" ht="32" customHeight="1">
      <c r="A23" s="48">
        <f>IF(COUNTIF('Log Sale'!$C$9:$C$308,Settings!$C$14&amp;TEXT(1000+ROW()-7,"0000"))=0,"",Settings!$C$14&amp;TEXT(1000+ROW()-7,"0000"))</f>
        <v/>
      </c>
      <c r="B23" s="53">
        <f>IF($A23="","",_xlfn.MAXIFS('Log Sale'!$B$9:$B$308,'Log Sale'!$C$9:$C$308,$A23))</f>
        <v/>
      </c>
      <c r="C23" s="39" t="n"/>
      <c r="D23" s="42" t="n"/>
      <c r="E23" s="39" t="n"/>
      <c r="F23" s="32">
        <f>IF($A23="","",COUNTIF('Log Sale'!$C$9:$C$308,$A23))</f>
        <v/>
      </c>
      <c r="G23" s="54">
        <f>IF($A23="","",SUMIF('Log Sale'!$C$9:$C$308,$A23,'Log Sale'!$K$9:$K$308))</f>
        <v/>
      </c>
      <c r="H23" s="55">
        <f>IF($A23="","",SUMIF('Log Sale'!$C$9:$C$308,$A23,'Log Sale'!$H$9:$H$308))</f>
        <v/>
      </c>
      <c r="I23" s="36">
        <f>IF($A23="","",$H23*Settings!$C$12)</f>
        <v/>
      </c>
      <c r="J23" s="56">
        <f>IF($A23="","",$H23+$I23)</f>
        <v/>
      </c>
      <c r="K23" s="57">
        <f>IF($A23="","",$A23)</f>
        <v/>
      </c>
    </row>
    <row r="24" ht="32" customHeight="1">
      <c r="A24" s="48">
        <f>IF(COUNTIF('Log Sale'!$C$9:$C$308,Settings!$C$14&amp;TEXT(1000+ROW()-7,"0000"))=0,"",Settings!$C$14&amp;TEXT(1000+ROW()-7,"0000"))</f>
        <v/>
      </c>
      <c r="B24" s="53">
        <f>IF($A24="","",_xlfn.MAXIFS('Log Sale'!$B$9:$B$308,'Log Sale'!$C$9:$C$308,$A24))</f>
        <v/>
      </c>
      <c r="C24" s="39" t="n"/>
      <c r="D24" s="42" t="n"/>
      <c r="E24" s="39" t="n"/>
      <c r="F24" s="32">
        <f>IF($A24="","",COUNTIF('Log Sale'!$C$9:$C$308,$A24))</f>
        <v/>
      </c>
      <c r="G24" s="54">
        <f>IF($A24="","",SUMIF('Log Sale'!$C$9:$C$308,$A24,'Log Sale'!$K$9:$K$308))</f>
        <v/>
      </c>
      <c r="H24" s="55">
        <f>IF($A24="","",SUMIF('Log Sale'!$C$9:$C$308,$A24,'Log Sale'!$H$9:$H$308))</f>
        <v/>
      </c>
      <c r="I24" s="36">
        <f>IF($A24="","",$H24*Settings!$C$12)</f>
        <v/>
      </c>
      <c r="J24" s="56">
        <f>IF($A24="","",$H24+$I24)</f>
        <v/>
      </c>
      <c r="K24" s="57">
        <f>IF($A24="","",$A24)</f>
        <v/>
      </c>
    </row>
    <row r="25" ht="32" customHeight="1">
      <c r="A25" s="48">
        <f>IF(COUNTIF('Log Sale'!$C$9:$C$308,Settings!$C$14&amp;TEXT(1000+ROW()-7,"0000"))=0,"",Settings!$C$14&amp;TEXT(1000+ROW()-7,"0000"))</f>
        <v/>
      </c>
      <c r="B25" s="53">
        <f>IF($A25="","",_xlfn.MAXIFS('Log Sale'!$B$9:$B$308,'Log Sale'!$C$9:$C$308,$A25))</f>
        <v/>
      </c>
      <c r="C25" s="39" t="n"/>
      <c r="D25" s="42" t="n"/>
      <c r="E25" s="39" t="n"/>
      <c r="F25" s="32">
        <f>IF($A25="","",COUNTIF('Log Sale'!$C$9:$C$308,$A25))</f>
        <v/>
      </c>
      <c r="G25" s="54">
        <f>IF($A25="","",SUMIF('Log Sale'!$C$9:$C$308,$A25,'Log Sale'!$K$9:$K$308))</f>
        <v/>
      </c>
      <c r="H25" s="55">
        <f>IF($A25="","",SUMIF('Log Sale'!$C$9:$C$308,$A25,'Log Sale'!$H$9:$H$308))</f>
        <v/>
      </c>
      <c r="I25" s="36">
        <f>IF($A25="","",$H25*Settings!$C$12)</f>
        <v/>
      </c>
      <c r="J25" s="56">
        <f>IF($A25="","",$H25+$I25)</f>
        <v/>
      </c>
      <c r="K25" s="57">
        <f>IF($A25="","",$A25)</f>
        <v/>
      </c>
    </row>
    <row r="26" ht="32" customHeight="1">
      <c r="A26" s="48">
        <f>IF(COUNTIF('Log Sale'!$C$9:$C$308,Settings!$C$14&amp;TEXT(1000+ROW()-7,"0000"))=0,"",Settings!$C$14&amp;TEXT(1000+ROW()-7,"0000"))</f>
        <v/>
      </c>
      <c r="B26" s="53">
        <f>IF($A26="","",_xlfn.MAXIFS('Log Sale'!$B$9:$B$308,'Log Sale'!$C$9:$C$308,$A26))</f>
        <v/>
      </c>
      <c r="C26" s="39" t="n"/>
      <c r="D26" s="42" t="n"/>
      <c r="E26" s="39" t="n"/>
      <c r="F26" s="32">
        <f>IF($A26="","",COUNTIF('Log Sale'!$C$9:$C$308,$A26))</f>
        <v/>
      </c>
      <c r="G26" s="54">
        <f>IF($A26="","",SUMIF('Log Sale'!$C$9:$C$308,$A26,'Log Sale'!$K$9:$K$308))</f>
        <v/>
      </c>
      <c r="H26" s="55">
        <f>IF($A26="","",SUMIF('Log Sale'!$C$9:$C$308,$A26,'Log Sale'!$H$9:$H$308))</f>
        <v/>
      </c>
      <c r="I26" s="36">
        <f>IF($A26="","",$H26*Settings!$C$12)</f>
        <v/>
      </c>
      <c r="J26" s="56">
        <f>IF($A26="","",$H26+$I26)</f>
        <v/>
      </c>
      <c r="K26" s="57">
        <f>IF($A26="","",$A26)</f>
        <v/>
      </c>
    </row>
    <row r="27" ht="32" customHeight="1">
      <c r="A27" s="48">
        <f>IF(COUNTIF('Log Sale'!$C$9:$C$308,Settings!$C$14&amp;TEXT(1000+ROW()-7,"0000"))=0,"",Settings!$C$14&amp;TEXT(1000+ROW()-7,"0000"))</f>
        <v/>
      </c>
      <c r="B27" s="53">
        <f>IF($A27="","",_xlfn.MAXIFS('Log Sale'!$B$9:$B$308,'Log Sale'!$C$9:$C$308,$A27))</f>
        <v/>
      </c>
      <c r="C27" s="39" t="n"/>
      <c r="D27" s="42" t="n"/>
      <c r="E27" s="39" t="n"/>
      <c r="F27" s="32">
        <f>IF($A27="","",COUNTIF('Log Sale'!$C$9:$C$308,$A27))</f>
        <v/>
      </c>
      <c r="G27" s="54">
        <f>IF($A27="","",SUMIF('Log Sale'!$C$9:$C$308,$A27,'Log Sale'!$K$9:$K$308))</f>
        <v/>
      </c>
      <c r="H27" s="55">
        <f>IF($A27="","",SUMIF('Log Sale'!$C$9:$C$308,$A27,'Log Sale'!$H$9:$H$308))</f>
        <v/>
      </c>
      <c r="I27" s="36">
        <f>IF($A27="","",$H27*Settings!$C$12)</f>
        <v/>
      </c>
      <c r="J27" s="56">
        <f>IF($A27="","",$H27+$I27)</f>
        <v/>
      </c>
      <c r="K27" s="57">
        <f>IF($A27="","",$A27)</f>
        <v/>
      </c>
    </row>
    <row r="28" ht="32" customHeight="1">
      <c r="A28" s="48">
        <f>IF(COUNTIF('Log Sale'!$C$9:$C$308,Settings!$C$14&amp;TEXT(1000+ROW()-7,"0000"))=0,"",Settings!$C$14&amp;TEXT(1000+ROW()-7,"0000"))</f>
        <v/>
      </c>
      <c r="B28" s="53">
        <f>IF($A28="","",_xlfn.MAXIFS('Log Sale'!$B$9:$B$308,'Log Sale'!$C$9:$C$308,$A28))</f>
        <v/>
      </c>
      <c r="C28" s="39" t="n"/>
      <c r="D28" s="42" t="n"/>
      <c r="E28" s="39" t="n"/>
      <c r="F28" s="32">
        <f>IF($A28="","",COUNTIF('Log Sale'!$C$9:$C$308,$A28))</f>
        <v/>
      </c>
      <c r="G28" s="54">
        <f>IF($A28="","",SUMIF('Log Sale'!$C$9:$C$308,$A28,'Log Sale'!$K$9:$K$308))</f>
        <v/>
      </c>
      <c r="H28" s="55">
        <f>IF($A28="","",SUMIF('Log Sale'!$C$9:$C$308,$A28,'Log Sale'!$H$9:$H$308))</f>
        <v/>
      </c>
      <c r="I28" s="36">
        <f>IF($A28="","",$H28*Settings!$C$12)</f>
        <v/>
      </c>
      <c r="J28" s="56">
        <f>IF($A28="","",$H28+$I28)</f>
        <v/>
      </c>
      <c r="K28" s="57">
        <f>IF($A28="","",$A28)</f>
        <v/>
      </c>
    </row>
    <row r="29" ht="32" customHeight="1">
      <c r="A29" s="48">
        <f>IF(COUNTIF('Log Sale'!$C$9:$C$308,Settings!$C$14&amp;TEXT(1000+ROW()-7,"0000"))=0,"",Settings!$C$14&amp;TEXT(1000+ROW()-7,"0000"))</f>
        <v/>
      </c>
      <c r="B29" s="53">
        <f>IF($A29="","",_xlfn.MAXIFS('Log Sale'!$B$9:$B$308,'Log Sale'!$C$9:$C$308,$A29))</f>
        <v/>
      </c>
      <c r="C29" s="39" t="n"/>
      <c r="D29" s="42" t="n"/>
      <c r="E29" s="39" t="n"/>
      <c r="F29" s="32">
        <f>IF($A29="","",COUNTIF('Log Sale'!$C$9:$C$308,$A29))</f>
        <v/>
      </c>
      <c r="G29" s="54">
        <f>IF($A29="","",SUMIF('Log Sale'!$C$9:$C$308,$A29,'Log Sale'!$K$9:$K$308))</f>
        <v/>
      </c>
      <c r="H29" s="55">
        <f>IF($A29="","",SUMIF('Log Sale'!$C$9:$C$308,$A29,'Log Sale'!$H$9:$H$308))</f>
        <v/>
      </c>
      <c r="I29" s="36">
        <f>IF($A29="","",$H29*Settings!$C$12)</f>
        <v/>
      </c>
      <c r="J29" s="56">
        <f>IF($A29="","",$H29+$I29)</f>
        <v/>
      </c>
      <c r="K29" s="57">
        <f>IF($A29="","",$A29)</f>
        <v/>
      </c>
    </row>
    <row r="30" ht="32" customHeight="1">
      <c r="A30" s="48">
        <f>IF(COUNTIF('Log Sale'!$C$9:$C$308,Settings!$C$14&amp;TEXT(1000+ROW()-7,"0000"))=0,"",Settings!$C$14&amp;TEXT(1000+ROW()-7,"0000"))</f>
        <v/>
      </c>
      <c r="B30" s="53">
        <f>IF($A30="","",_xlfn.MAXIFS('Log Sale'!$B$9:$B$308,'Log Sale'!$C$9:$C$308,$A30))</f>
        <v/>
      </c>
      <c r="C30" s="39" t="n"/>
      <c r="D30" s="42" t="n"/>
      <c r="E30" s="39" t="n"/>
      <c r="F30" s="32">
        <f>IF($A30="","",COUNTIF('Log Sale'!$C$9:$C$308,$A30))</f>
        <v/>
      </c>
      <c r="G30" s="54">
        <f>IF($A30="","",SUMIF('Log Sale'!$C$9:$C$308,$A30,'Log Sale'!$K$9:$K$308))</f>
        <v/>
      </c>
      <c r="H30" s="55">
        <f>IF($A30="","",SUMIF('Log Sale'!$C$9:$C$308,$A30,'Log Sale'!$H$9:$H$308))</f>
        <v/>
      </c>
      <c r="I30" s="36">
        <f>IF($A30="","",$H30*Settings!$C$12)</f>
        <v/>
      </c>
      <c r="J30" s="56">
        <f>IF($A30="","",$H30+$I30)</f>
        <v/>
      </c>
      <c r="K30" s="57">
        <f>IF($A30="","",$A30)</f>
        <v/>
      </c>
    </row>
    <row r="31" ht="32" customHeight="1">
      <c r="A31" s="48">
        <f>IF(COUNTIF('Log Sale'!$C$9:$C$308,Settings!$C$14&amp;TEXT(1000+ROW()-7,"0000"))=0,"",Settings!$C$14&amp;TEXT(1000+ROW()-7,"0000"))</f>
        <v/>
      </c>
      <c r="B31" s="53">
        <f>IF($A31="","",_xlfn.MAXIFS('Log Sale'!$B$9:$B$308,'Log Sale'!$C$9:$C$308,$A31))</f>
        <v/>
      </c>
      <c r="C31" s="39" t="n"/>
      <c r="D31" s="42" t="n"/>
      <c r="E31" s="39" t="n"/>
      <c r="F31" s="32">
        <f>IF($A31="","",COUNTIF('Log Sale'!$C$9:$C$308,$A31))</f>
        <v/>
      </c>
      <c r="G31" s="54">
        <f>IF($A31="","",SUMIF('Log Sale'!$C$9:$C$308,$A31,'Log Sale'!$K$9:$K$308))</f>
        <v/>
      </c>
      <c r="H31" s="55">
        <f>IF($A31="","",SUMIF('Log Sale'!$C$9:$C$308,$A31,'Log Sale'!$H$9:$H$308))</f>
        <v/>
      </c>
      <c r="I31" s="36">
        <f>IF($A31="","",$H31*Settings!$C$12)</f>
        <v/>
      </c>
      <c r="J31" s="56">
        <f>IF($A31="","",$H31+$I31)</f>
        <v/>
      </c>
      <c r="K31" s="57">
        <f>IF($A31="","",$A31)</f>
        <v/>
      </c>
    </row>
    <row r="32" ht="32" customHeight="1">
      <c r="A32" s="48">
        <f>IF(COUNTIF('Log Sale'!$C$9:$C$308,Settings!$C$14&amp;TEXT(1000+ROW()-7,"0000"))=0,"",Settings!$C$14&amp;TEXT(1000+ROW()-7,"0000"))</f>
        <v/>
      </c>
      <c r="B32" s="53">
        <f>IF($A32="","",_xlfn.MAXIFS('Log Sale'!$B$9:$B$308,'Log Sale'!$C$9:$C$308,$A32))</f>
        <v/>
      </c>
      <c r="C32" s="39" t="n"/>
      <c r="D32" s="42" t="n"/>
      <c r="E32" s="39" t="n"/>
      <c r="F32" s="32">
        <f>IF($A32="","",COUNTIF('Log Sale'!$C$9:$C$308,$A32))</f>
        <v/>
      </c>
      <c r="G32" s="54">
        <f>IF($A32="","",SUMIF('Log Sale'!$C$9:$C$308,$A32,'Log Sale'!$K$9:$K$308))</f>
        <v/>
      </c>
      <c r="H32" s="55">
        <f>IF($A32="","",SUMIF('Log Sale'!$C$9:$C$308,$A32,'Log Sale'!$H$9:$H$308))</f>
        <v/>
      </c>
      <c r="I32" s="36">
        <f>IF($A32="","",$H32*Settings!$C$12)</f>
        <v/>
      </c>
      <c r="J32" s="56">
        <f>IF($A32="","",$H32+$I32)</f>
        <v/>
      </c>
      <c r="K32" s="57">
        <f>IF($A32="","",$A32)</f>
        <v/>
      </c>
    </row>
    <row r="33" ht="32" customHeight="1">
      <c r="A33" s="48">
        <f>IF(COUNTIF('Log Sale'!$C$9:$C$308,Settings!$C$14&amp;TEXT(1000+ROW()-7,"0000"))=0,"",Settings!$C$14&amp;TEXT(1000+ROW()-7,"0000"))</f>
        <v/>
      </c>
      <c r="B33" s="53">
        <f>IF($A33="","",_xlfn.MAXIFS('Log Sale'!$B$9:$B$308,'Log Sale'!$C$9:$C$308,$A33))</f>
        <v/>
      </c>
      <c r="C33" s="39" t="n"/>
      <c r="D33" s="42" t="n"/>
      <c r="E33" s="39" t="n"/>
      <c r="F33" s="32">
        <f>IF($A33="","",COUNTIF('Log Sale'!$C$9:$C$308,$A33))</f>
        <v/>
      </c>
      <c r="G33" s="54">
        <f>IF($A33="","",SUMIF('Log Sale'!$C$9:$C$308,$A33,'Log Sale'!$K$9:$K$308))</f>
        <v/>
      </c>
      <c r="H33" s="55">
        <f>IF($A33="","",SUMIF('Log Sale'!$C$9:$C$308,$A33,'Log Sale'!$H$9:$H$308))</f>
        <v/>
      </c>
      <c r="I33" s="36">
        <f>IF($A33="","",$H33*Settings!$C$12)</f>
        <v/>
      </c>
      <c r="J33" s="56">
        <f>IF($A33="","",$H33+$I33)</f>
        <v/>
      </c>
      <c r="K33" s="57">
        <f>IF($A33="","",$A33)</f>
        <v/>
      </c>
    </row>
    <row r="34" ht="32" customHeight="1">
      <c r="A34" s="48">
        <f>IF(COUNTIF('Log Sale'!$C$9:$C$308,Settings!$C$14&amp;TEXT(1000+ROW()-7,"0000"))=0,"",Settings!$C$14&amp;TEXT(1000+ROW()-7,"0000"))</f>
        <v/>
      </c>
      <c r="B34" s="53">
        <f>IF($A34="","",_xlfn.MAXIFS('Log Sale'!$B$9:$B$308,'Log Sale'!$C$9:$C$308,$A34))</f>
        <v/>
      </c>
      <c r="C34" s="39" t="n"/>
      <c r="D34" s="42" t="n"/>
      <c r="E34" s="39" t="n"/>
      <c r="F34" s="32">
        <f>IF($A34="","",COUNTIF('Log Sale'!$C$9:$C$308,$A34))</f>
        <v/>
      </c>
      <c r="G34" s="54">
        <f>IF($A34="","",SUMIF('Log Sale'!$C$9:$C$308,$A34,'Log Sale'!$K$9:$K$308))</f>
        <v/>
      </c>
      <c r="H34" s="55">
        <f>IF($A34="","",SUMIF('Log Sale'!$C$9:$C$308,$A34,'Log Sale'!$H$9:$H$308))</f>
        <v/>
      </c>
      <c r="I34" s="36">
        <f>IF($A34="","",$H34*Settings!$C$12)</f>
        <v/>
      </c>
      <c r="J34" s="56">
        <f>IF($A34="","",$H34+$I34)</f>
        <v/>
      </c>
      <c r="K34" s="57">
        <f>IF($A34="","",$A34)</f>
        <v/>
      </c>
    </row>
    <row r="35" ht="32" customHeight="1">
      <c r="A35" s="48">
        <f>IF(COUNTIF('Log Sale'!$C$9:$C$308,Settings!$C$14&amp;TEXT(1000+ROW()-7,"0000"))=0,"",Settings!$C$14&amp;TEXT(1000+ROW()-7,"0000"))</f>
        <v/>
      </c>
      <c r="B35" s="53">
        <f>IF($A35="","",_xlfn.MAXIFS('Log Sale'!$B$9:$B$308,'Log Sale'!$C$9:$C$308,$A35))</f>
        <v/>
      </c>
      <c r="C35" s="39" t="n"/>
      <c r="D35" s="42" t="n"/>
      <c r="E35" s="39" t="n"/>
      <c r="F35" s="32">
        <f>IF($A35="","",COUNTIF('Log Sale'!$C$9:$C$308,$A35))</f>
        <v/>
      </c>
      <c r="G35" s="54">
        <f>IF($A35="","",SUMIF('Log Sale'!$C$9:$C$308,$A35,'Log Sale'!$K$9:$K$308))</f>
        <v/>
      </c>
      <c r="H35" s="55">
        <f>IF($A35="","",SUMIF('Log Sale'!$C$9:$C$308,$A35,'Log Sale'!$H$9:$H$308))</f>
        <v/>
      </c>
      <c r="I35" s="36">
        <f>IF($A35="","",$H35*Settings!$C$12)</f>
        <v/>
      </c>
      <c r="J35" s="56">
        <f>IF($A35="","",$H35+$I35)</f>
        <v/>
      </c>
      <c r="K35" s="57">
        <f>IF($A35="","",$A35)</f>
        <v/>
      </c>
    </row>
    <row r="36" ht="32" customHeight="1">
      <c r="A36" s="48">
        <f>IF(COUNTIF('Log Sale'!$C$9:$C$308,Settings!$C$14&amp;TEXT(1000+ROW()-7,"0000"))=0,"",Settings!$C$14&amp;TEXT(1000+ROW()-7,"0000"))</f>
        <v/>
      </c>
      <c r="B36" s="53">
        <f>IF($A36="","",_xlfn.MAXIFS('Log Sale'!$B$9:$B$308,'Log Sale'!$C$9:$C$308,$A36))</f>
        <v/>
      </c>
      <c r="C36" s="39" t="n"/>
      <c r="D36" s="42" t="n"/>
      <c r="E36" s="39" t="n"/>
      <c r="F36" s="32">
        <f>IF($A36="","",COUNTIF('Log Sale'!$C$9:$C$308,$A36))</f>
        <v/>
      </c>
      <c r="G36" s="54">
        <f>IF($A36="","",SUMIF('Log Sale'!$C$9:$C$308,$A36,'Log Sale'!$K$9:$K$308))</f>
        <v/>
      </c>
      <c r="H36" s="55">
        <f>IF($A36="","",SUMIF('Log Sale'!$C$9:$C$308,$A36,'Log Sale'!$H$9:$H$308))</f>
        <v/>
      </c>
      <c r="I36" s="36">
        <f>IF($A36="","",$H36*Settings!$C$12)</f>
        <v/>
      </c>
      <c r="J36" s="56">
        <f>IF($A36="","",$H36+$I36)</f>
        <v/>
      </c>
      <c r="K36" s="57">
        <f>IF($A36="","",$A36)</f>
        <v/>
      </c>
    </row>
    <row r="37" ht="32" customHeight="1">
      <c r="A37" s="48">
        <f>IF(COUNTIF('Log Sale'!$C$9:$C$308,Settings!$C$14&amp;TEXT(1000+ROW()-7,"0000"))=0,"",Settings!$C$14&amp;TEXT(1000+ROW()-7,"0000"))</f>
        <v/>
      </c>
      <c r="B37" s="53">
        <f>IF($A37="","",_xlfn.MAXIFS('Log Sale'!$B$9:$B$308,'Log Sale'!$C$9:$C$308,$A37))</f>
        <v/>
      </c>
      <c r="C37" s="39" t="n"/>
      <c r="D37" s="42" t="n"/>
      <c r="E37" s="39" t="n"/>
      <c r="F37" s="32">
        <f>IF($A37="","",COUNTIF('Log Sale'!$C$9:$C$308,$A37))</f>
        <v/>
      </c>
      <c r="G37" s="54">
        <f>IF($A37="","",SUMIF('Log Sale'!$C$9:$C$308,$A37,'Log Sale'!$K$9:$K$308))</f>
        <v/>
      </c>
      <c r="H37" s="55">
        <f>IF($A37="","",SUMIF('Log Sale'!$C$9:$C$308,$A37,'Log Sale'!$H$9:$H$308))</f>
        <v/>
      </c>
      <c r="I37" s="36">
        <f>IF($A37="","",$H37*Settings!$C$12)</f>
        <v/>
      </c>
      <c r="J37" s="56">
        <f>IF($A37="","",$H37+$I37)</f>
        <v/>
      </c>
      <c r="K37" s="57">
        <f>IF($A37="","",$A37)</f>
        <v/>
      </c>
    </row>
    <row r="38" ht="32" customHeight="1">
      <c r="A38" s="48">
        <f>IF(COUNTIF('Log Sale'!$C$9:$C$308,Settings!$C$14&amp;TEXT(1000+ROW()-7,"0000"))=0,"",Settings!$C$14&amp;TEXT(1000+ROW()-7,"0000"))</f>
        <v/>
      </c>
      <c r="B38" s="53">
        <f>IF($A38="","",_xlfn.MAXIFS('Log Sale'!$B$9:$B$308,'Log Sale'!$C$9:$C$308,$A38))</f>
        <v/>
      </c>
      <c r="C38" s="39" t="n"/>
      <c r="D38" s="42" t="n"/>
      <c r="E38" s="39" t="n"/>
      <c r="F38" s="32">
        <f>IF($A38="","",COUNTIF('Log Sale'!$C$9:$C$308,$A38))</f>
        <v/>
      </c>
      <c r="G38" s="54">
        <f>IF($A38="","",SUMIF('Log Sale'!$C$9:$C$308,$A38,'Log Sale'!$K$9:$K$308))</f>
        <v/>
      </c>
      <c r="H38" s="55">
        <f>IF($A38="","",SUMIF('Log Sale'!$C$9:$C$308,$A38,'Log Sale'!$H$9:$H$308))</f>
        <v/>
      </c>
      <c r="I38" s="36">
        <f>IF($A38="","",$H38*Settings!$C$12)</f>
        <v/>
      </c>
      <c r="J38" s="56">
        <f>IF($A38="","",$H38+$I38)</f>
        <v/>
      </c>
      <c r="K38" s="57">
        <f>IF($A38="","",$A38)</f>
        <v/>
      </c>
    </row>
    <row r="39" ht="32" customHeight="1">
      <c r="A39" s="48">
        <f>IF(COUNTIF('Log Sale'!$C$9:$C$308,Settings!$C$14&amp;TEXT(1000+ROW()-7,"0000"))=0,"",Settings!$C$14&amp;TEXT(1000+ROW()-7,"0000"))</f>
        <v/>
      </c>
      <c r="B39" s="53">
        <f>IF($A39="","",_xlfn.MAXIFS('Log Sale'!$B$9:$B$308,'Log Sale'!$C$9:$C$308,$A39))</f>
        <v/>
      </c>
      <c r="C39" s="39" t="n"/>
      <c r="D39" s="42" t="n"/>
      <c r="E39" s="39" t="n"/>
      <c r="F39" s="32">
        <f>IF($A39="","",COUNTIF('Log Sale'!$C$9:$C$308,$A39))</f>
        <v/>
      </c>
      <c r="G39" s="54">
        <f>IF($A39="","",SUMIF('Log Sale'!$C$9:$C$308,$A39,'Log Sale'!$K$9:$K$308))</f>
        <v/>
      </c>
      <c r="H39" s="55">
        <f>IF($A39="","",SUMIF('Log Sale'!$C$9:$C$308,$A39,'Log Sale'!$H$9:$H$308))</f>
        <v/>
      </c>
      <c r="I39" s="36">
        <f>IF($A39="","",$H39*Settings!$C$12)</f>
        <v/>
      </c>
      <c r="J39" s="56">
        <f>IF($A39="","",$H39+$I39)</f>
        <v/>
      </c>
      <c r="K39" s="57">
        <f>IF($A39="","",$A39)</f>
        <v/>
      </c>
    </row>
    <row r="40" ht="32" customHeight="1">
      <c r="A40" s="48">
        <f>IF(COUNTIF('Log Sale'!$C$9:$C$308,Settings!$C$14&amp;TEXT(1000+ROW()-7,"0000"))=0,"",Settings!$C$14&amp;TEXT(1000+ROW()-7,"0000"))</f>
        <v/>
      </c>
      <c r="B40" s="53">
        <f>IF($A40="","",_xlfn.MAXIFS('Log Sale'!$B$9:$B$308,'Log Sale'!$C$9:$C$308,$A40))</f>
        <v/>
      </c>
      <c r="C40" s="39" t="n"/>
      <c r="D40" s="42" t="n"/>
      <c r="E40" s="39" t="n"/>
      <c r="F40" s="32">
        <f>IF($A40="","",COUNTIF('Log Sale'!$C$9:$C$308,$A40))</f>
        <v/>
      </c>
      <c r="G40" s="54">
        <f>IF($A40="","",SUMIF('Log Sale'!$C$9:$C$308,$A40,'Log Sale'!$K$9:$K$308))</f>
        <v/>
      </c>
      <c r="H40" s="55">
        <f>IF($A40="","",SUMIF('Log Sale'!$C$9:$C$308,$A40,'Log Sale'!$H$9:$H$308))</f>
        <v/>
      </c>
      <c r="I40" s="36">
        <f>IF($A40="","",$H40*Settings!$C$12)</f>
        <v/>
      </c>
      <c r="J40" s="56">
        <f>IF($A40="","",$H40+$I40)</f>
        <v/>
      </c>
      <c r="K40" s="57">
        <f>IF($A40="","",$A40)</f>
        <v/>
      </c>
    </row>
    <row r="41" ht="32" customHeight="1">
      <c r="A41" s="48">
        <f>IF(COUNTIF('Log Sale'!$C$9:$C$308,Settings!$C$14&amp;TEXT(1000+ROW()-7,"0000"))=0,"",Settings!$C$14&amp;TEXT(1000+ROW()-7,"0000"))</f>
        <v/>
      </c>
      <c r="B41" s="53">
        <f>IF($A41="","",_xlfn.MAXIFS('Log Sale'!$B$9:$B$308,'Log Sale'!$C$9:$C$308,$A41))</f>
        <v/>
      </c>
      <c r="C41" s="39" t="n"/>
      <c r="D41" s="42" t="n"/>
      <c r="E41" s="39" t="n"/>
      <c r="F41" s="32">
        <f>IF($A41="","",COUNTIF('Log Sale'!$C$9:$C$308,$A41))</f>
        <v/>
      </c>
      <c r="G41" s="54">
        <f>IF($A41="","",SUMIF('Log Sale'!$C$9:$C$308,$A41,'Log Sale'!$K$9:$K$308))</f>
        <v/>
      </c>
      <c r="H41" s="55">
        <f>IF($A41="","",SUMIF('Log Sale'!$C$9:$C$308,$A41,'Log Sale'!$H$9:$H$308))</f>
        <v/>
      </c>
      <c r="I41" s="36">
        <f>IF($A41="","",$H41*Settings!$C$12)</f>
        <v/>
      </c>
      <c r="J41" s="56">
        <f>IF($A41="","",$H41+$I41)</f>
        <v/>
      </c>
      <c r="K41" s="57">
        <f>IF($A41="","",$A41)</f>
        <v/>
      </c>
    </row>
    <row r="42" ht="32" customHeight="1">
      <c r="A42" s="48">
        <f>IF(COUNTIF('Log Sale'!$C$9:$C$308,Settings!$C$14&amp;TEXT(1000+ROW()-7,"0000"))=0,"",Settings!$C$14&amp;TEXT(1000+ROW()-7,"0000"))</f>
        <v/>
      </c>
      <c r="B42" s="53">
        <f>IF($A42="","",_xlfn.MAXIFS('Log Sale'!$B$9:$B$308,'Log Sale'!$C$9:$C$308,$A42))</f>
        <v/>
      </c>
      <c r="C42" s="39" t="n"/>
      <c r="D42" s="42" t="n"/>
      <c r="E42" s="39" t="n"/>
      <c r="F42" s="32">
        <f>IF($A42="","",COUNTIF('Log Sale'!$C$9:$C$308,$A42))</f>
        <v/>
      </c>
      <c r="G42" s="54">
        <f>IF($A42="","",SUMIF('Log Sale'!$C$9:$C$308,$A42,'Log Sale'!$K$9:$K$308))</f>
        <v/>
      </c>
      <c r="H42" s="55">
        <f>IF($A42="","",SUMIF('Log Sale'!$C$9:$C$308,$A42,'Log Sale'!$H$9:$H$308))</f>
        <v/>
      </c>
      <c r="I42" s="36">
        <f>IF($A42="","",$H42*Settings!$C$12)</f>
        <v/>
      </c>
      <c r="J42" s="56">
        <f>IF($A42="","",$H42+$I42)</f>
        <v/>
      </c>
      <c r="K42" s="57">
        <f>IF($A42="","",$A42)</f>
        <v/>
      </c>
    </row>
    <row r="43" ht="32" customHeight="1">
      <c r="A43" s="48">
        <f>IF(COUNTIF('Log Sale'!$C$9:$C$308,Settings!$C$14&amp;TEXT(1000+ROW()-7,"0000"))=0,"",Settings!$C$14&amp;TEXT(1000+ROW()-7,"0000"))</f>
        <v/>
      </c>
      <c r="B43" s="53">
        <f>IF($A43="","",_xlfn.MAXIFS('Log Sale'!$B$9:$B$308,'Log Sale'!$C$9:$C$308,$A43))</f>
        <v/>
      </c>
      <c r="C43" s="39" t="n"/>
      <c r="D43" s="42" t="n"/>
      <c r="E43" s="39" t="n"/>
      <c r="F43" s="32">
        <f>IF($A43="","",COUNTIF('Log Sale'!$C$9:$C$308,$A43))</f>
        <v/>
      </c>
      <c r="G43" s="54">
        <f>IF($A43="","",SUMIF('Log Sale'!$C$9:$C$308,$A43,'Log Sale'!$K$9:$K$308))</f>
        <v/>
      </c>
      <c r="H43" s="55">
        <f>IF($A43="","",SUMIF('Log Sale'!$C$9:$C$308,$A43,'Log Sale'!$H$9:$H$308))</f>
        <v/>
      </c>
      <c r="I43" s="36">
        <f>IF($A43="","",$H43*Settings!$C$12)</f>
        <v/>
      </c>
      <c r="J43" s="56">
        <f>IF($A43="","",$H43+$I43)</f>
        <v/>
      </c>
      <c r="K43" s="57">
        <f>IF($A43="","",$A43)</f>
        <v/>
      </c>
    </row>
    <row r="44" ht="32" customHeight="1">
      <c r="A44" s="48">
        <f>IF(COUNTIF('Log Sale'!$C$9:$C$308,Settings!$C$14&amp;TEXT(1000+ROW()-7,"0000"))=0,"",Settings!$C$14&amp;TEXT(1000+ROW()-7,"0000"))</f>
        <v/>
      </c>
      <c r="B44" s="53">
        <f>IF($A44="","",_xlfn.MAXIFS('Log Sale'!$B$9:$B$308,'Log Sale'!$C$9:$C$308,$A44))</f>
        <v/>
      </c>
      <c r="C44" s="39" t="n"/>
      <c r="D44" s="42" t="n"/>
      <c r="E44" s="39" t="n"/>
      <c r="F44" s="32">
        <f>IF($A44="","",COUNTIF('Log Sale'!$C$9:$C$308,$A44))</f>
        <v/>
      </c>
      <c r="G44" s="54">
        <f>IF($A44="","",SUMIF('Log Sale'!$C$9:$C$308,$A44,'Log Sale'!$K$9:$K$308))</f>
        <v/>
      </c>
      <c r="H44" s="55">
        <f>IF($A44="","",SUMIF('Log Sale'!$C$9:$C$308,$A44,'Log Sale'!$H$9:$H$308))</f>
        <v/>
      </c>
      <c r="I44" s="36">
        <f>IF($A44="","",$H44*Settings!$C$12)</f>
        <v/>
      </c>
      <c r="J44" s="56">
        <f>IF($A44="","",$H44+$I44)</f>
        <v/>
      </c>
      <c r="K44" s="57">
        <f>IF($A44="","",$A44)</f>
        <v/>
      </c>
    </row>
    <row r="45" ht="32" customHeight="1">
      <c r="A45" s="48">
        <f>IF(COUNTIF('Log Sale'!$C$9:$C$308,Settings!$C$14&amp;TEXT(1000+ROW()-7,"0000"))=0,"",Settings!$C$14&amp;TEXT(1000+ROW()-7,"0000"))</f>
        <v/>
      </c>
      <c r="B45" s="53">
        <f>IF($A45="","",_xlfn.MAXIFS('Log Sale'!$B$9:$B$308,'Log Sale'!$C$9:$C$308,$A45))</f>
        <v/>
      </c>
      <c r="C45" s="39" t="n"/>
      <c r="D45" s="42" t="n"/>
      <c r="E45" s="39" t="n"/>
      <c r="F45" s="32">
        <f>IF($A45="","",COUNTIF('Log Sale'!$C$9:$C$308,$A45))</f>
        <v/>
      </c>
      <c r="G45" s="54">
        <f>IF($A45="","",SUMIF('Log Sale'!$C$9:$C$308,$A45,'Log Sale'!$K$9:$K$308))</f>
        <v/>
      </c>
      <c r="H45" s="55">
        <f>IF($A45="","",SUMIF('Log Sale'!$C$9:$C$308,$A45,'Log Sale'!$H$9:$H$308))</f>
        <v/>
      </c>
      <c r="I45" s="36">
        <f>IF($A45="","",$H45*Settings!$C$12)</f>
        <v/>
      </c>
      <c r="J45" s="56">
        <f>IF($A45="","",$H45+$I45)</f>
        <v/>
      </c>
      <c r="K45" s="57">
        <f>IF($A45="","",$A45)</f>
        <v/>
      </c>
    </row>
    <row r="46" ht="32" customHeight="1">
      <c r="A46" s="48">
        <f>IF(COUNTIF('Log Sale'!$C$9:$C$308,Settings!$C$14&amp;TEXT(1000+ROW()-7,"0000"))=0,"",Settings!$C$14&amp;TEXT(1000+ROW()-7,"0000"))</f>
        <v/>
      </c>
      <c r="B46" s="53">
        <f>IF($A46="","",_xlfn.MAXIFS('Log Sale'!$B$9:$B$308,'Log Sale'!$C$9:$C$308,$A46))</f>
        <v/>
      </c>
      <c r="C46" s="39" t="n"/>
      <c r="D46" s="42" t="n"/>
      <c r="E46" s="39" t="n"/>
      <c r="F46" s="32">
        <f>IF($A46="","",COUNTIF('Log Sale'!$C$9:$C$308,$A46))</f>
        <v/>
      </c>
      <c r="G46" s="54">
        <f>IF($A46="","",SUMIF('Log Sale'!$C$9:$C$308,$A46,'Log Sale'!$K$9:$K$308))</f>
        <v/>
      </c>
      <c r="H46" s="55">
        <f>IF($A46="","",SUMIF('Log Sale'!$C$9:$C$308,$A46,'Log Sale'!$H$9:$H$308))</f>
        <v/>
      </c>
      <c r="I46" s="36">
        <f>IF($A46="","",$H46*Settings!$C$12)</f>
        <v/>
      </c>
      <c r="J46" s="56">
        <f>IF($A46="","",$H46+$I46)</f>
        <v/>
      </c>
      <c r="K46" s="57">
        <f>IF($A46="","",$A46)</f>
        <v/>
      </c>
    </row>
    <row r="47" ht="32" customHeight="1">
      <c r="A47" s="48">
        <f>IF(COUNTIF('Log Sale'!$C$9:$C$308,Settings!$C$14&amp;TEXT(1000+ROW()-7,"0000"))=0,"",Settings!$C$14&amp;TEXT(1000+ROW()-7,"0000"))</f>
        <v/>
      </c>
      <c r="B47" s="53">
        <f>IF($A47="","",_xlfn.MAXIFS('Log Sale'!$B$9:$B$308,'Log Sale'!$C$9:$C$308,$A47))</f>
        <v/>
      </c>
      <c r="C47" s="39" t="n"/>
      <c r="D47" s="42" t="n"/>
      <c r="E47" s="39" t="n"/>
      <c r="F47" s="32">
        <f>IF($A47="","",COUNTIF('Log Sale'!$C$9:$C$308,$A47))</f>
        <v/>
      </c>
      <c r="G47" s="54">
        <f>IF($A47="","",SUMIF('Log Sale'!$C$9:$C$308,$A47,'Log Sale'!$K$9:$K$308))</f>
        <v/>
      </c>
      <c r="H47" s="55">
        <f>IF($A47="","",SUMIF('Log Sale'!$C$9:$C$308,$A47,'Log Sale'!$H$9:$H$308))</f>
        <v/>
      </c>
      <c r="I47" s="36">
        <f>IF($A47="","",$H47*Settings!$C$12)</f>
        <v/>
      </c>
      <c r="J47" s="56">
        <f>IF($A47="","",$H47+$I47)</f>
        <v/>
      </c>
      <c r="K47" s="57">
        <f>IF($A47="","",$A47)</f>
        <v/>
      </c>
    </row>
    <row r="48" ht="32" customHeight="1">
      <c r="A48" s="48">
        <f>IF(COUNTIF('Log Sale'!$C$9:$C$308,Settings!$C$14&amp;TEXT(1000+ROW()-7,"0000"))=0,"",Settings!$C$14&amp;TEXT(1000+ROW()-7,"0000"))</f>
        <v/>
      </c>
      <c r="B48" s="53">
        <f>IF($A48="","",_xlfn.MAXIFS('Log Sale'!$B$9:$B$308,'Log Sale'!$C$9:$C$308,$A48))</f>
        <v/>
      </c>
      <c r="C48" s="39" t="n"/>
      <c r="D48" s="42" t="n"/>
      <c r="E48" s="39" t="n"/>
      <c r="F48" s="32">
        <f>IF($A48="","",COUNTIF('Log Sale'!$C$9:$C$308,$A48))</f>
        <v/>
      </c>
      <c r="G48" s="54">
        <f>IF($A48="","",SUMIF('Log Sale'!$C$9:$C$308,$A48,'Log Sale'!$K$9:$K$308))</f>
        <v/>
      </c>
      <c r="H48" s="55">
        <f>IF($A48="","",SUMIF('Log Sale'!$C$9:$C$308,$A48,'Log Sale'!$H$9:$H$308))</f>
        <v/>
      </c>
      <c r="I48" s="36">
        <f>IF($A48="","",$H48*Settings!$C$12)</f>
        <v/>
      </c>
      <c r="J48" s="56">
        <f>IF($A48="","",$H48+$I48)</f>
        <v/>
      </c>
      <c r="K48" s="57">
        <f>IF($A48="","",$A48)</f>
        <v/>
      </c>
    </row>
    <row r="49" ht="32" customHeight="1">
      <c r="A49" s="48">
        <f>IF(COUNTIF('Log Sale'!$C$9:$C$308,Settings!$C$14&amp;TEXT(1000+ROW()-7,"0000"))=0,"",Settings!$C$14&amp;TEXT(1000+ROW()-7,"0000"))</f>
        <v/>
      </c>
      <c r="B49" s="53">
        <f>IF($A49="","",_xlfn.MAXIFS('Log Sale'!$B$9:$B$308,'Log Sale'!$C$9:$C$308,$A49))</f>
        <v/>
      </c>
      <c r="C49" s="39" t="n"/>
      <c r="D49" s="42" t="n"/>
      <c r="E49" s="39" t="n"/>
      <c r="F49" s="32">
        <f>IF($A49="","",COUNTIF('Log Sale'!$C$9:$C$308,$A49))</f>
        <v/>
      </c>
      <c r="G49" s="54">
        <f>IF($A49="","",SUMIF('Log Sale'!$C$9:$C$308,$A49,'Log Sale'!$K$9:$K$308))</f>
        <v/>
      </c>
      <c r="H49" s="55">
        <f>IF($A49="","",SUMIF('Log Sale'!$C$9:$C$308,$A49,'Log Sale'!$H$9:$H$308))</f>
        <v/>
      </c>
      <c r="I49" s="36">
        <f>IF($A49="","",$H49*Settings!$C$12)</f>
        <v/>
      </c>
      <c r="J49" s="56">
        <f>IF($A49="","",$H49+$I49)</f>
        <v/>
      </c>
      <c r="K49" s="57">
        <f>IF($A49="","",$A49)</f>
        <v/>
      </c>
    </row>
    <row r="50" ht="32" customHeight="1">
      <c r="A50" s="48">
        <f>IF(COUNTIF('Log Sale'!$C$9:$C$308,Settings!$C$14&amp;TEXT(1000+ROW()-7,"0000"))=0,"",Settings!$C$14&amp;TEXT(1000+ROW()-7,"0000"))</f>
        <v/>
      </c>
      <c r="B50" s="53">
        <f>IF($A50="","",_xlfn.MAXIFS('Log Sale'!$B$9:$B$308,'Log Sale'!$C$9:$C$308,$A50))</f>
        <v/>
      </c>
      <c r="C50" s="39" t="n"/>
      <c r="D50" s="42" t="n"/>
      <c r="E50" s="39" t="n"/>
      <c r="F50" s="32">
        <f>IF($A50="","",COUNTIF('Log Sale'!$C$9:$C$308,$A50))</f>
        <v/>
      </c>
      <c r="G50" s="54">
        <f>IF($A50="","",SUMIF('Log Sale'!$C$9:$C$308,$A50,'Log Sale'!$K$9:$K$308))</f>
        <v/>
      </c>
      <c r="H50" s="55">
        <f>IF($A50="","",SUMIF('Log Sale'!$C$9:$C$308,$A50,'Log Sale'!$H$9:$H$308))</f>
        <v/>
      </c>
      <c r="I50" s="36">
        <f>IF($A50="","",$H50*Settings!$C$12)</f>
        <v/>
      </c>
      <c r="J50" s="56">
        <f>IF($A50="","",$H50+$I50)</f>
        <v/>
      </c>
      <c r="K50" s="57">
        <f>IF($A50="","",$A50)</f>
        <v/>
      </c>
    </row>
    <row r="51" ht="32" customHeight="1">
      <c r="A51" s="48">
        <f>IF(COUNTIF('Log Sale'!$C$9:$C$308,Settings!$C$14&amp;TEXT(1000+ROW()-7,"0000"))=0,"",Settings!$C$14&amp;TEXT(1000+ROW()-7,"0000"))</f>
        <v/>
      </c>
      <c r="B51" s="53">
        <f>IF($A51="","",_xlfn.MAXIFS('Log Sale'!$B$9:$B$308,'Log Sale'!$C$9:$C$308,$A51))</f>
        <v/>
      </c>
      <c r="C51" s="39" t="n"/>
      <c r="D51" s="42" t="n"/>
      <c r="E51" s="39" t="n"/>
      <c r="F51" s="32">
        <f>IF($A51="","",COUNTIF('Log Sale'!$C$9:$C$308,$A51))</f>
        <v/>
      </c>
      <c r="G51" s="54">
        <f>IF($A51="","",SUMIF('Log Sale'!$C$9:$C$308,$A51,'Log Sale'!$K$9:$K$308))</f>
        <v/>
      </c>
      <c r="H51" s="55">
        <f>IF($A51="","",SUMIF('Log Sale'!$C$9:$C$308,$A51,'Log Sale'!$H$9:$H$308))</f>
        <v/>
      </c>
      <c r="I51" s="36">
        <f>IF($A51="","",$H51*Settings!$C$12)</f>
        <v/>
      </c>
      <c r="J51" s="56">
        <f>IF($A51="","",$H51+$I51)</f>
        <v/>
      </c>
      <c r="K51" s="57">
        <f>IF($A51="","",$A51)</f>
        <v/>
      </c>
    </row>
    <row r="52" ht="32" customHeight="1">
      <c r="A52" s="48">
        <f>IF(COUNTIF('Log Sale'!$C$9:$C$308,Settings!$C$14&amp;TEXT(1000+ROW()-7,"0000"))=0,"",Settings!$C$14&amp;TEXT(1000+ROW()-7,"0000"))</f>
        <v/>
      </c>
      <c r="B52" s="53">
        <f>IF($A52="","",_xlfn.MAXIFS('Log Sale'!$B$9:$B$308,'Log Sale'!$C$9:$C$308,$A52))</f>
        <v/>
      </c>
      <c r="C52" s="39" t="n"/>
      <c r="D52" s="42" t="n"/>
      <c r="E52" s="39" t="n"/>
      <c r="F52" s="32">
        <f>IF($A52="","",COUNTIF('Log Sale'!$C$9:$C$308,$A52))</f>
        <v/>
      </c>
      <c r="G52" s="54">
        <f>IF($A52="","",SUMIF('Log Sale'!$C$9:$C$308,$A52,'Log Sale'!$K$9:$K$308))</f>
        <v/>
      </c>
      <c r="H52" s="55">
        <f>IF($A52="","",SUMIF('Log Sale'!$C$9:$C$308,$A52,'Log Sale'!$H$9:$H$308))</f>
        <v/>
      </c>
      <c r="I52" s="36">
        <f>IF($A52="","",$H52*Settings!$C$12)</f>
        <v/>
      </c>
      <c r="J52" s="56">
        <f>IF($A52="","",$H52+$I52)</f>
        <v/>
      </c>
      <c r="K52" s="57">
        <f>IF($A52="","",$A52)</f>
        <v/>
      </c>
    </row>
    <row r="53" ht="32" customHeight="1">
      <c r="A53" s="48">
        <f>IF(COUNTIF('Log Sale'!$C$9:$C$308,Settings!$C$14&amp;TEXT(1000+ROW()-7,"0000"))=0,"",Settings!$C$14&amp;TEXT(1000+ROW()-7,"0000"))</f>
        <v/>
      </c>
      <c r="B53" s="53">
        <f>IF($A53="","",_xlfn.MAXIFS('Log Sale'!$B$9:$B$308,'Log Sale'!$C$9:$C$308,$A53))</f>
        <v/>
      </c>
      <c r="C53" s="39" t="n"/>
      <c r="D53" s="42" t="n"/>
      <c r="E53" s="39" t="n"/>
      <c r="F53" s="32">
        <f>IF($A53="","",COUNTIF('Log Sale'!$C$9:$C$308,$A53))</f>
        <v/>
      </c>
      <c r="G53" s="54">
        <f>IF($A53="","",SUMIF('Log Sale'!$C$9:$C$308,$A53,'Log Sale'!$K$9:$K$308))</f>
        <v/>
      </c>
      <c r="H53" s="55">
        <f>IF($A53="","",SUMIF('Log Sale'!$C$9:$C$308,$A53,'Log Sale'!$H$9:$H$308))</f>
        <v/>
      </c>
      <c r="I53" s="36">
        <f>IF($A53="","",$H53*Settings!$C$12)</f>
        <v/>
      </c>
      <c r="J53" s="56">
        <f>IF($A53="","",$H53+$I53)</f>
        <v/>
      </c>
      <c r="K53" s="57">
        <f>IF($A53="","",$A53)</f>
        <v/>
      </c>
    </row>
    <row r="54" ht="32" customHeight="1">
      <c r="A54" s="48">
        <f>IF(COUNTIF('Log Sale'!$C$9:$C$308,Settings!$C$14&amp;TEXT(1000+ROW()-7,"0000"))=0,"",Settings!$C$14&amp;TEXT(1000+ROW()-7,"0000"))</f>
        <v/>
      </c>
      <c r="B54" s="53">
        <f>IF($A54="","",_xlfn.MAXIFS('Log Sale'!$B$9:$B$308,'Log Sale'!$C$9:$C$308,$A54))</f>
        <v/>
      </c>
      <c r="C54" s="39" t="n"/>
      <c r="D54" s="42" t="n"/>
      <c r="E54" s="39" t="n"/>
      <c r="F54" s="32">
        <f>IF($A54="","",COUNTIF('Log Sale'!$C$9:$C$308,$A54))</f>
        <v/>
      </c>
      <c r="G54" s="54">
        <f>IF($A54="","",SUMIF('Log Sale'!$C$9:$C$308,$A54,'Log Sale'!$K$9:$K$308))</f>
        <v/>
      </c>
      <c r="H54" s="55">
        <f>IF($A54="","",SUMIF('Log Sale'!$C$9:$C$308,$A54,'Log Sale'!$H$9:$H$308))</f>
        <v/>
      </c>
      <c r="I54" s="36">
        <f>IF($A54="","",$H54*Settings!$C$12)</f>
        <v/>
      </c>
      <c r="J54" s="56">
        <f>IF($A54="","",$H54+$I54)</f>
        <v/>
      </c>
      <c r="K54" s="57">
        <f>IF($A54="","",$A54)</f>
        <v/>
      </c>
    </row>
    <row r="55" ht="32" customHeight="1">
      <c r="A55" s="48">
        <f>IF(COUNTIF('Log Sale'!$C$9:$C$308,Settings!$C$14&amp;TEXT(1000+ROW()-7,"0000"))=0,"",Settings!$C$14&amp;TEXT(1000+ROW()-7,"0000"))</f>
        <v/>
      </c>
      <c r="B55" s="53">
        <f>IF($A55="","",_xlfn.MAXIFS('Log Sale'!$B$9:$B$308,'Log Sale'!$C$9:$C$308,$A55))</f>
        <v/>
      </c>
      <c r="C55" s="39" t="n"/>
      <c r="D55" s="42" t="n"/>
      <c r="E55" s="39" t="n"/>
      <c r="F55" s="32">
        <f>IF($A55="","",COUNTIF('Log Sale'!$C$9:$C$308,$A55))</f>
        <v/>
      </c>
      <c r="G55" s="54">
        <f>IF($A55="","",SUMIF('Log Sale'!$C$9:$C$308,$A55,'Log Sale'!$K$9:$K$308))</f>
        <v/>
      </c>
      <c r="H55" s="55">
        <f>IF($A55="","",SUMIF('Log Sale'!$C$9:$C$308,$A55,'Log Sale'!$H$9:$H$308))</f>
        <v/>
      </c>
      <c r="I55" s="36">
        <f>IF($A55="","",$H55*Settings!$C$12)</f>
        <v/>
      </c>
      <c r="J55" s="56">
        <f>IF($A55="","",$H55+$I55)</f>
        <v/>
      </c>
      <c r="K55" s="57">
        <f>IF($A55="","",$A55)</f>
        <v/>
      </c>
    </row>
    <row r="56" ht="32" customHeight="1">
      <c r="A56" s="48">
        <f>IF(COUNTIF('Log Sale'!$C$9:$C$308,Settings!$C$14&amp;TEXT(1000+ROW()-7,"0000"))=0,"",Settings!$C$14&amp;TEXT(1000+ROW()-7,"0000"))</f>
        <v/>
      </c>
      <c r="B56" s="53">
        <f>IF($A56="","",_xlfn.MAXIFS('Log Sale'!$B$9:$B$308,'Log Sale'!$C$9:$C$308,$A56))</f>
        <v/>
      </c>
      <c r="C56" s="39" t="n"/>
      <c r="D56" s="42" t="n"/>
      <c r="E56" s="39" t="n"/>
      <c r="F56" s="32">
        <f>IF($A56="","",COUNTIF('Log Sale'!$C$9:$C$308,$A56))</f>
        <v/>
      </c>
      <c r="G56" s="54">
        <f>IF($A56="","",SUMIF('Log Sale'!$C$9:$C$308,$A56,'Log Sale'!$K$9:$K$308))</f>
        <v/>
      </c>
      <c r="H56" s="55">
        <f>IF($A56="","",SUMIF('Log Sale'!$C$9:$C$308,$A56,'Log Sale'!$H$9:$H$308))</f>
        <v/>
      </c>
      <c r="I56" s="36">
        <f>IF($A56="","",$H56*Settings!$C$12)</f>
        <v/>
      </c>
      <c r="J56" s="56">
        <f>IF($A56="","",$H56+$I56)</f>
        <v/>
      </c>
      <c r="K56" s="57">
        <f>IF($A56="","",$A56)</f>
        <v/>
      </c>
    </row>
    <row r="57" ht="32" customHeight="1">
      <c r="A57" s="48">
        <f>IF(COUNTIF('Log Sale'!$C$9:$C$308,Settings!$C$14&amp;TEXT(1000+ROW()-7,"0000"))=0,"",Settings!$C$14&amp;TEXT(1000+ROW()-7,"0000"))</f>
        <v/>
      </c>
      <c r="B57" s="53">
        <f>IF($A57="","",_xlfn.MAXIFS('Log Sale'!$B$9:$B$308,'Log Sale'!$C$9:$C$308,$A57))</f>
        <v/>
      </c>
      <c r="C57" s="39" t="n"/>
      <c r="D57" s="42" t="n"/>
      <c r="E57" s="39" t="n"/>
      <c r="F57" s="32">
        <f>IF($A57="","",COUNTIF('Log Sale'!$C$9:$C$308,$A57))</f>
        <v/>
      </c>
      <c r="G57" s="54">
        <f>IF($A57="","",SUMIF('Log Sale'!$C$9:$C$308,$A57,'Log Sale'!$K$9:$K$308))</f>
        <v/>
      </c>
      <c r="H57" s="55">
        <f>IF($A57="","",SUMIF('Log Sale'!$C$9:$C$308,$A57,'Log Sale'!$H$9:$H$308))</f>
        <v/>
      </c>
      <c r="I57" s="36">
        <f>IF($A57="","",$H57*Settings!$C$12)</f>
        <v/>
      </c>
      <c r="J57" s="56">
        <f>IF($A57="","",$H57+$I57)</f>
        <v/>
      </c>
      <c r="K57" s="57">
        <f>IF($A57="","",$A57)</f>
        <v/>
      </c>
    </row>
    <row r="58" ht="32" customHeight="1">
      <c r="A58" s="48">
        <f>IF(COUNTIF('Log Sale'!$C$9:$C$308,Settings!$C$14&amp;TEXT(1000+ROW()-7,"0000"))=0,"",Settings!$C$14&amp;TEXT(1000+ROW()-7,"0000"))</f>
        <v/>
      </c>
      <c r="B58" s="53">
        <f>IF($A58="","",_xlfn.MAXIFS('Log Sale'!$B$9:$B$308,'Log Sale'!$C$9:$C$308,$A58))</f>
        <v/>
      </c>
      <c r="C58" s="39" t="n"/>
      <c r="D58" s="42" t="n"/>
      <c r="E58" s="39" t="n"/>
      <c r="F58" s="32">
        <f>IF($A58="","",COUNTIF('Log Sale'!$C$9:$C$308,$A58))</f>
        <v/>
      </c>
      <c r="G58" s="54">
        <f>IF($A58="","",SUMIF('Log Sale'!$C$9:$C$308,$A58,'Log Sale'!$K$9:$K$308))</f>
        <v/>
      </c>
      <c r="H58" s="55">
        <f>IF($A58="","",SUMIF('Log Sale'!$C$9:$C$308,$A58,'Log Sale'!$H$9:$H$308))</f>
        <v/>
      </c>
      <c r="I58" s="36">
        <f>IF($A58="","",$H58*Settings!$C$12)</f>
        <v/>
      </c>
      <c r="J58" s="56">
        <f>IF($A58="","",$H58+$I58)</f>
        <v/>
      </c>
      <c r="K58" s="57">
        <f>IF($A58="","",$A58)</f>
        <v/>
      </c>
    </row>
    <row r="59" ht="32" customHeight="1">
      <c r="A59" s="48">
        <f>IF(COUNTIF('Log Sale'!$C$9:$C$308,Settings!$C$14&amp;TEXT(1000+ROW()-7,"0000"))=0,"",Settings!$C$14&amp;TEXT(1000+ROW()-7,"0000"))</f>
        <v/>
      </c>
      <c r="B59" s="53">
        <f>IF($A59="","",_xlfn.MAXIFS('Log Sale'!$B$9:$B$308,'Log Sale'!$C$9:$C$308,$A59))</f>
        <v/>
      </c>
      <c r="C59" s="39" t="n"/>
      <c r="D59" s="42" t="n"/>
      <c r="E59" s="39" t="n"/>
      <c r="F59" s="32">
        <f>IF($A59="","",COUNTIF('Log Sale'!$C$9:$C$308,$A59))</f>
        <v/>
      </c>
      <c r="G59" s="54">
        <f>IF($A59="","",SUMIF('Log Sale'!$C$9:$C$308,$A59,'Log Sale'!$K$9:$K$308))</f>
        <v/>
      </c>
      <c r="H59" s="55">
        <f>IF($A59="","",SUMIF('Log Sale'!$C$9:$C$308,$A59,'Log Sale'!$H$9:$H$308))</f>
        <v/>
      </c>
      <c r="I59" s="36">
        <f>IF($A59="","",$H59*Settings!$C$12)</f>
        <v/>
      </c>
      <c r="J59" s="56">
        <f>IF($A59="","",$H59+$I59)</f>
        <v/>
      </c>
      <c r="K59" s="57">
        <f>IF($A59="","",$A59)</f>
        <v/>
      </c>
    </row>
    <row r="60" ht="32" customHeight="1">
      <c r="A60" s="48">
        <f>IF(COUNTIF('Log Sale'!$C$9:$C$308,Settings!$C$14&amp;TEXT(1000+ROW()-7,"0000"))=0,"",Settings!$C$14&amp;TEXT(1000+ROW()-7,"0000"))</f>
        <v/>
      </c>
      <c r="B60" s="53">
        <f>IF($A60="","",_xlfn.MAXIFS('Log Sale'!$B$9:$B$308,'Log Sale'!$C$9:$C$308,$A60))</f>
        <v/>
      </c>
      <c r="C60" s="39" t="n"/>
      <c r="D60" s="42" t="n"/>
      <c r="E60" s="39" t="n"/>
      <c r="F60" s="32">
        <f>IF($A60="","",COUNTIF('Log Sale'!$C$9:$C$308,$A60))</f>
        <v/>
      </c>
      <c r="G60" s="54">
        <f>IF($A60="","",SUMIF('Log Sale'!$C$9:$C$308,$A60,'Log Sale'!$K$9:$K$308))</f>
        <v/>
      </c>
      <c r="H60" s="55">
        <f>IF($A60="","",SUMIF('Log Sale'!$C$9:$C$308,$A60,'Log Sale'!$H$9:$H$308))</f>
        <v/>
      </c>
      <c r="I60" s="36">
        <f>IF($A60="","",$H60*Settings!$C$12)</f>
        <v/>
      </c>
      <c r="J60" s="56">
        <f>IF($A60="","",$H60+$I60)</f>
        <v/>
      </c>
      <c r="K60" s="57">
        <f>IF($A60="","",$A60)</f>
        <v/>
      </c>
    </row>
    <row r="61" ht="32" customHeight="1">
      <c r="A61" s="48">
        <f>IF(COUNTIF('Log Sale'!$C$9:$C$308,Settings!$C$14&amp;TEXT(1000+ROW()-7,"0000"))=0,"",Settings!$C$14&amp;TEXT(1000+ROW()-7,"0000"))</f>
        <v/>
      </c>
      <c r="B61" s="53">
        <f>IF($A61="","",_xlfn.MAXIFS('Log Sale'!$B$9:$B$308,'Log Sale'!$C$9:$C$308,$A61))</f>
        <v/>
      </c>
      <c r="C61" s="39" t="n"/>
      <c r="D61" s="42" t="n"/>
      <c r="E61" s="39" t="n"/>
      <c r="F61" s="32">
        <f>IF($A61="","",COUNTIF('Log Sale'!$C$9:$C$308,$A61))</f>
        <v/>
      </c>
      <c r="G61" s="54">
        <f>IF($A61="","",SUMIF('Log Sale'!$C$9:$C$308,$A61,'Log Sale'!$K$9:$K$308))</f>
        <v/>
      </c>
      <c r="H61" s="55">
        <f>IF($A61="","",SUMIF('Log Sale'!$C$9:$C$308,$A61,'Log Sale'!$H$9:$H$308))</f>
        <v/>
      </c>
      <c r="I61" s="36">
        <f>IF($A61="","",$H61*Settings!$C$12)</f>
        <v/>
      </c>
      <c r="J61" s="56">
        <f>IF($A61="","",$H61+$I61)</f>
        <v/>
      </c>
      <c r="K61" s="57">
        <f>IF($A61="","",$A61)</f>
        <v/>
      </c>
    </row>
    <row r="62" ht="32" customHeight="1">
      <c r="A62" s="48">
        <f>IF(COUNTIF('Log Sale'!$C$9:$C$308,Settings!$C$14&amp;TEXT(1000+ROW()-7,"0000"))=0,"",Settings!$C$14&amp;TEXT(1000+ROW()-7,"0000"))</f>
        <v/>
      </c>
      <c r="B62" s="53">
        <f>IF($A62="","",_xlfn.MAXIFS('Log Sale'!$B$9:$B$308,'Log Sale'!$C$9:$C$308,$A62))</f>
        <v/>
      </c>
      <c r="C62" s="39" t="n"/>
      <c r="D62" s="42" t="n"/>
      <c r="E62" s="39" t="n"/>
      <c r="F62" s="32">
        <f>IF($A62="","",COUNTIF('Log Sale'!$C$9:$C$308,$A62))</f>
        <v/>
      </c>
      <c r="G62" s="54">
        <f>IF($A62="","",SUMIF('Log Sale'!$C$9:$C$308,$A62,'Log Sale'!$K$9:$K$308))</f>
        <v/>
      </c>
      <c r="H62" s="55">
        <f>IF($A62="","",SUMIF('Log Sale'!$C$9:$C$308,$A62,'Log Sale'!$H$9:$H$308))</f>
        <v/>
      </c>
      <c r="I62" s="36">
        <f>IF($A62="","",$H62*Settings!$C$12)</f>
        <v/>
      </c>
      <c r="J62" s="56">
        <f>IF($A62="","",$H62+$I62)</f>
        <v/>
      </c>
      <c r="K62" s="57">
        <f>IF($A62="","",$A62)</f>
        <v/>
      </c>
    </row>
    <row r="63" ht="32" customHeight="1">
      <c r="A63" s="48">
        <f>IF(COUNTIF('Log Sale'!$C$9:$C$308,Settings!$C$14&amp;TEXT(1000+ROW()-7,"0000"))=0,"",Settings!$C$14&amp;TEXT(1000+ROW()-7,"0000"))</f>
        <v/>
      </c>
      <c r="B63" s="53">
        <f>IF($A63="","",_xlfn.MAXIFS('Log Sale'!$B$9:$B$308,'Log Sale'!$C$9:$C$308,$A63))</f>
        <v/>
      </c>
      <c r="C63" s="39" t="n"/>
      <c r="D63" s="42" t="n"/>
      <c r="E63" s="39" t="n"/>
      <c r="F63" s="32">
        <f>IF($A63="","",COUNTIF('Log Sale'!$C$9:$C$308,$A63))</f>
        <v/>
      </c>
      <c r="G63" s="54">
        <f>IF($A63="","",SUMIF('Log Sale'!$C$9:$C$308,$A63,'Log Sale'!$K$9:$K$308))</f>
        <v/>
      </c>
      <c r="H63" s="55">
        <f>IF($A63="","",SUMIF('Log Sale'!$C$9:$C$308,$A63,'Log Sale'!$H$9:$H$308))</f>
        <v/>
      </c>
      <c r="I63" s="36">
        <f>IF($A63="","",$H63*Settings!$C$12)</f>
        <v/>
      </c>
      <c r="J63" s="56">
        <f>IF($A63="","",$H63+$I63)</f>
        <v/>
      </c>
      <c r="K63" s="57">
        <f>IF($A63="","",$A63)</f>
        <v/>
      </c>
    </row>
    <row r="64" ht="32" customHeight="1">
      <c r="A64" s="48">
        <f>IF(COUNTIF('Log Sale'!$C$9:$C$308,Settings!$C$14&amp;TEXT(1000+ROW()-7,"0000"))=0,"",Settings!$C$14&amp;TEXT(1000+ROW()-7,"0000"))</f>
        <v/>
      </c>
      <c r="B64" s="53">
        <f>IF($A64="","",_xlfn.MAXIFS('Log Sale'!$B$9:$B$308,'Log Sale'!$C$9:$C$308,$A64))</f>
        <v/>
      </c>
      <c r="C64" s="39" t="n"/>
      <c r="D64" s="42" t="n"/>
      <c r="E64" s="39" t="n"/>
      <c r="F64" s="32">
        <f>IF($A64="","",COUNTIF('Log Sale'!$C$9:$C$308,$A64))</f>
        <v/>
      </c>
      <c r="G64" s="54">
        <f>IF($A64="","",SUMIF('Log Sale'!$C$9:$C$308,$A64,'Log Sale'!$K$9:$K$308))</f>
        <v/>
      </c>
      <c r="H64" s="55">
        <f>IF($A64="","",SUMIF('Log Sale'!$C$9:$C$308,$A64,'Log Sale'!$H$9:$H$308))</f>
        <v/>
      </c>
      <c r="I64" s="36">
        <f>IF($A64="","",$H64*Settings!$C$12)</f>
        <v/>
      </c>
      <c r="J64" s="56">
        <f>IF($A64="","",$H64+$I64)</f>
        <v/>
      </c>
      <c r="K64" s="57">
        <f>IF($A64="","",$A64)</f>
        <v/>
      </c>
    </row>
    <row r="65" ht="32" customHeight="1">
      <c r="A65" s="48">
        <f>IF(COUNTIF('Log Sale'!$C$9:$C$308,Settings!$C$14&amp;TEXT(1000+ROW()-7,"0000"))=0,"",Settings!$C$14&amp;TEXT(1000+ROW()-7,"0000"))</f>
        <v/>
      </c>
      <c r="B65" s="53">
        <f>IF($A65="","",_xlfn.MAXIFS('Log Sale'!$B$9:$B$308,'Log Sale'!$C$9:$C$308,$A65))</f>
        <v/>
      </c>
      <c r="C65" s="39" t="n"/>
      <c r="D65" s="42" t="n"/>
      <c r="E65" s="39" t="n"/>
      <c r="F65" s="32">
        <f>IF($A65="","",COUNTIF('Log Sale'!$C$9:$C$308,$A65))</f>
        <v/>
      </c>
      <c r="G65" s="54">
        <f>IF($A65="","",SUMIF('Log Sale'!$C$9:$C$308,$A65,'Log Sale'!$K$9:$K$308))</f>
        <v/>
      </c>
      <c r="H65" s="55">
        <f>IF($A65="","",SUMIF('Log Sale'!$C$9:$C$308,$A65,'Log Sale'!$H$9:$H$308))</f>
        <v/>
      </c>
      <c r="I65" s="36">
        <f>IF($A65="","",$H65*Settings!$C$12)</f>
        <v/>
      </c>
      <c r="J65" s="56">
        <f>IF($A65="","",$H65+$I65)</f>
        <v/>
      </c>
      <c r="K65" s="57">
        <f>IF($A65="","",$A65)</f>
        <v/>
      </c>
    </row>
    <row r="66" ht="32" customHeight="1">
      <c r="A66" s="48">
        <f>IF(COUNTIF('Log Sale'!$C$9:$C$308,Settings!$C$14&amp;TEXT(1000+ROW()-7,"0000"))=0,"",Settings!$C$14&amp;TEXT(1000+ROW()-7,"0000"))</f>
        <v/>
      </c>
      <c r="B66" s="53">
        <f>IF($A66="","",_xlfn.MAXIFS('Log Sale'!$B$9:$B$308,'Log Sale'!$C$9:$C$308,$A66))</f>
        <v/>
      </c>
      <c r="C66" s="39" t="n"/>
      <c r="D66" s="42" t="n"/>
      <c r="E66" s="39" t="n"/>
      <c r="F66" s="32">
        <f>IF($A66="","",COUNTIF('Log Sale'!$C$9:$C$308,$A66))</f>
        <v/>
      </c>
      <c r="G66" s="54">
        <f>IF($A66="","",SUMIF('Log Sale'!$C$9:$C$308,$A66,'Log Sale'!$K$9:$K$308))</f>
        <v/>
      </c>
      <c r="H66" s="55">
        <f>IF($A66="","",SUMIF('Log Sale'!$C$9:$C$308,$A66,'Log Sale'!$H$9:$H$308))</f>
        <v/>
      </c>
      <c r="I66" s="36">
        <f>IF($A66="","",$H66*Settings!$C$12)</f>
        <v/>
      </c>
      <c r="J66" s="56">
        <f>IF($A66="","",$H66+$I66)</f>
        <v/>
      </c>
      <c r="K66" s="57">
        <f>IF($A66="","",$A66)</f>
        <v/>
      </c>
    </row>
    <row r="67" ht="32" customHeight="1">
      <c r="A67" s="48">
        <f>IF(COUNTIF('Log Sale'!$C$9:$C$308,Settings!$C$14&amp;TEXT(1000+ROW()-7,"0000"))=0,"",Settings!$C$14&amp;TEXT(1000+ROW()-7,"0000"))</f>
        <v/>
      </c>
      <c r="B67" s="53">
        <f>IF($A67="","",_xlfn.MAXIFS('Log Sale'!$B$9:$B$308,'Log Sale'!$C$9:$C$308,$A67))</f>
        <v/>
      </c>
      <c r="C67" s="39" t="n"/>
      <c r="D67" s="42" t="n"/>
      <c r="E67" s="39" t="n"/>
      <c r="F67" s="32">
        <f>IF($A67="","",COUNTIF('Log Sale'!$C$9:$C$308,$A67))</f>
        <v/>
      </c>
      <c r="G67" s="54">
        <f>IF($A67="","",SUMIF('Log Sale'!$C$9:$C$308,$A67,'Log Sale'!$K$9:$K$308))</f>
        <v/>
      </c>
      <c r="H67" s="55">
        <f>IF($A67="","",SUMIF('Log Sale'!$C$9:$C$308,$A67,'Log Sale'!$H$9:$H$308))</f>
        <v/>
      </c>
      <c r="I67" s="36">
        <f>IF($A67="","",$H67*Settings!$C$12)</f>
        <v/>
      </c>
      <c r="J67" s="56">
        <f>IF($A67="","",$H67+$I67)</f>
        <v/>
      </c>
      <c r="K67" s="57">
        <f>IF($A67="","",$A67)</f>
        <v/>
      </c>
    </row>
    <row r="68" ht="32" customHeight="1">
      <c r="A68" s="48">
        <f>IF(COUNTIF('Log Sale'!$C$9:$C$308,Settings!$C$14&amp;TEXT(1000+ROW()-7,"0000"))=0,"",Settings!$C$14&amp;TEXT(1000+ROW()-7,"0000"))</f>
        <v/>
      </c>
      <c r="B68" s="53">
        <f>IF($A68="","",_xlfn.MAXIFS('Log Sale'!$B$9:$B$308,'Log Sale'!$C$9:$C$308,$A68))</f>
        <v/>
      </c>
      <c r="C68" s="39" t="n"/>
      <c r="D68" s="42" t="n"/>
      <c r="E68" s="39" t="n"/>
      <c r="F68" s="32">
        <f>IF($A68="","",COUNTIF('Log Sale'!$C$9:$C$308,$A68))</f>
        <v/>
      </c>
      <c r="G68" s="54">
        <f>IF($A68="","",SUMIF('Log Sale'!$C$9:$C$308,$A68,'Log Sale'!$K$9:$K$308))</f>
        <v/>
      </c>
      <c r="H68" s="55">
        <f>IF($A68="","",SUMIF('Log Sale'!$C$9:$C$308,$A68,'Log Sale'!$H$9:$H$308))</f>
        <v/>
      </c>
      <c r="I68" s="36">
        <f>IF($A68="","",$H68*Settings!$C$12)</f>
        <v/>
      </c>
      <c r="J68" s="56">
        <f>IF($A68="","",$H68+$I68)</f>
        <v/>
      </c>
      <c r="K68" s="57">
        <f>IF($A68="","",$A68)</f>
        <v/>
      </c>
    </row>
    <row r="69" ht="32" customHeight="1">
      <c r="A69" s="48">
        <f>IF(COUNTIF('Log Sale'!$C$9:$C$308,Settings!$C$14&amp;TEXT(1000+ROW()-7,"0000"))=0,"",Settings!$C$14&amp;TEXT(1000+ROW()-7,"0000"))</f>
        <v/>
      </c>
      <c r="B69" s="53">
        <f>IF($A69="","",_xlfn.MAXIFS('Log Sale'!$B$9:$B$308,'Log Sale'!$C$9:$C$308,$A69))</f>
        <v/>
      </c>
      <c r="C69" s="39" t="n"/>
      <c r="D69" s="42" t="n"/>
      <c r="E69" s="39" t="n"/>
      <c r="F69" s="32">
        <f>IF($A69="","",COUNTIF('Log Sale'!$C$9:$C$308,$A69))</f>
        <v/>
      </c>
      <c r="G69" s="54">
        <f>IF($A69="","",SUMIF('Log Sale'!$C$9:$C$308,$A69,'Log Sale'!$K$9:$K$308))</f>
        <v/>
      </c>
      <c r="H69" s="55">
        <f>IF($A69="","",SUMIF('Log Sale'!$C$9:$C$308,$A69,'Log Sale'!$H$9:$H$308))</f>
        <v/>
      </c>
      <c r="I69" s="36">
        <f>IF($A69="","",$H69*Settings!$C$12)</f>
        <v/>
      </c>
      <c r="J69" s="56">
        <f>IF($A69="","",$H69+$I69)</f>
        <v/>
      </c>
      <c r="K69" s="57">
        <f>IF($A69="","",$A69)</f>
        <v/>
      </c>
    </row>
    <row r="70" ht="32" customHeight="1">
      <c r="A70" s="48">
        <f>IF(COUNTIF('Log Sale'!$C$9:$C$308,Settings!$C$14&amp;TEXT(1000+ROW()-7,"0000"))=0,"",Settings!$C$14&amp;TEXT(1000+ROW()-7,"0000"))</f>
        <v/>
      </c>
      <c r="B70" s="53">
        <f>IF($A70="","",_xlfn.MAXIFS('Log Sale'!$B$9:$B$308,'Log Sale'!$C$9:$C$308,$A70))</f>
        <v/>
      </c>
      <c r="C70" s="39" t="n"/>
      <c r="D70" s="42" t="n"/>
      <c r="E70" s="39" t="n"/>
      <c r="F70" s="32">
        <f>IF($A70="","",COUNTIF('Log Sale'!$C$9:$C$308,$A70))</f>
        <v/>
      </c>
      <c r="G70" s="54">
        <f>IF($A70="","",SUMIF('Log Sale'!$C$9:$C$308,$A70,'Log Sale'!$K$9:$K$308))</f>
        <v/>
      </c>
      <c r="H70" s="55">
        <f>IF($A70="","",SUMIF('Log Sale'!$C$9:$C$308,$A70,'Log Sale'!$H$9:$H$308))</f>
        <v/>
      </c>
      <c r="I70" s="36">
        <f>IF($A70="","",$H70*Settings!$C$12)</f>
        <v/>
      </c>
      <c r="J70" s="56">
        <f>IF($A70="","",$H70+$I70)</f>
        <v/>
      </c>
      <c r="K70" s="57">
        <f>IF($A70="","",$A70)</f>
        <v/>
      </c>
    </row>
    <row r="71" ht="32" customHeight="1">
      <c r="A71" s="48">
        <f>IF(COUNTIF('Log Sale'!$C$9:$C$308,Settings!$C$14&amp;TEXT(1000+ROW()-7,"0000"))=0,"",Settings!$C$14&amp;TEXT(1000+ROW()-7,"0000"))</f>
        <v/>
      </c>
      <c r="B71" s="53">
        <f>IF($A71="","",_xlfn.MAXIFS('Log Sale'!$B$9:$B$308,'Log Sale'!$C$9:$C$308,$A71))</f>
        <v/>
      </c>
      <c r="C71" s="39" t="n"/>
      <c r="D71" s="42" t="n"/>
      <c r="E71" s="39" t="n"/>
      <c r="F71" s="32">
        <f>IF($A71="","",COUNTIF('Log Sale'!$C$9:$C$308,$A71))</f>
        <v/>
      </c>
      <c r="G71" s="54">
        <f>IF($A71="","",SUMIF('Log Sale'!$C$9:$C$308,$A71,'Log Sale'!$K$9:$K$308))</f>
        <v/>
      </c>
      <c r="H71" s="55">
        <f>IF($A71="","",SUMIF('Log Sale'!$C$9:$C$308,$A71,'Log Sale'!$H$9:$H$308))</f>
        <v/>
      </c>
      <c r="I71" s="36">
        <f>IF($A71="","",$H71*Settings!$C$12)</f>
        <v/>
      </c>
      <c r="J71" s="56">
        <f>IF($A71="","",$H71+$I71)</f>
        <v/>
      </c>
      <c r="K71" s="57">
        <f>IF($A71="","",$A71)</f>
        <v/>
      </c>
    </row>
    <row r="72" ht="32" customHeight="1">
      <c r="A72" s="48">
        <f>IF(COUNTIF('Log Sale'!$C$9:$C$308,Settings!$C$14&amp;TEXT(1000+ROW()-7,"0000"))=0,"",Settings!$C$14&amp;TEXT(1000+ROW()-7,"0000"))</f>
        <v/>
      </c>
      <c r="B72" s="53">
        <f>IF($A72="","",_xlfn.MAXIFS('Log Sale'!$B$9:$B$308,'Log Sale'!$C$9:$C$308,$A72))</f>
        <v/>
      </c>
      <c r="C72" s="39" t="n"/>
      <c r="D72" s="42" t="n"/>
      <c r="E72" s="39" t="n"/>
      <c r="F72" s="32">
        <f>IF($A72="","",COUNTIF('Log Sale'!$C$9:$C$308,$A72))</f>
        <v/>
      </c>
      <c r="G72" s="54">
        <f>IF($A72="","",SUMIF('Log Sale'!$C$9:$C$308,$A72,'Log Sale'!$K$9:$K$308))</f>
        <v/>
      </c>
      <c r="H72" s="55">
        <f>IF($A72="","",SUMIF('Log Sale'!$C$9:$C$308,$A72,'Log Sale'!$H$9:$H$308))</f>
        <v/>
      </c>
      <c r="I72" s="36">
        <f>IF($A72="","",$H72*Settings!$C$12)</f>
        <v/>
      </c>
      <c r="J72" s="56">
        <f>IF($A72="","",$H72+$I72)</f>
        <v/>
      </c>
      <c r="K72" s="57">
        <f>IF($A72="","",$A72)</f>
        <v/>
      </c>
    </row>
    <row r="73" ht="32" customHeight="1">
      <c r="A73" s="48">
        <f>IF(COUNTIF('Log Sale'!$C$9:$C$308,Settings!$C$14&amp;TEXT(1000+ROW()-7,"0000"))=0,"",Settings!$C$14&amp;TEXT(1000+ROW()-7,"0000"))</f>
        <v/>
      </c>
      <c r="B73" s="53">
        <f>IF($A73="","",_xlfn.MAXIFS('Log Sale'!$B$9:$B$308,'Log Sale'!$C$9:$C$308,$A73))</f>
        <v/>
      </c>
      <c r="C73" s="39" t="n"/>
      <c r="D73" s="42" t="n"/>
      <c r="E73" s="39" t="n"/>
      <c r="F73" s="32">
        <f>IF($A73="","",COUNTIF('Log Sale'!$C$9:$C$308,$A73))</f>
        <v/>
      </c>
      <c r="G73" s="54">
        <f>IF($A73="","",SUMIF('Log Sale'!$C$9:$C$308,$A73,'Log Sale'!$K$9:$K$308))</f>
        <v/>
      </c>
      <c r="H73" s="55">
        <f>IF($A73="","",SUMIF('Log Sale'!$C$9:$C$308,$A73,'Log Sale'!$H$9:$H$308))</f>
        <v/>
      </c>
      <c r="I73" s="36">
        <f>IF($A73="","",$H73*Settings!$C$12)</f>
        <v/>
      </c>
      <c r="J73" s="56">
        <f>IF($A73="","",$H73+$I73)</f>
        <v/>
      </c>
      <c r="K73" s="57">
        <f>IF($A73="","",$A73)</f>
        <v/>
      </c>
    </row>
    <row r="74" ht="32" customHeight="1">
      <c r="A74" s="48">
        <f>IF(COUNTIF('Log Sale'!$C$9:$C$308,Settings!$C$14&amp;TEXT(1000+ROW()-7,"0000"))=0,"",Settings!$C$14&amp;TEXT(1000+ROW()-7,"0000"))</f>
        <v/>
      </c>
      <c r="B74" s="53">
        <f>IF($A74="","",_xlfn.MAXIFS('Log Sale'!$B$9:$B$308,'Log Sale'!$C$9:$C$308,$A74))</f>
        <v/>
      </c>
      <c r="C74" s="39" t="n"/>
      <c r="D74" s="42" t="n"/>
      <c r="E74" s="39" t="n"/>
      <c r="F74" s="32">
        <f>IF($A74="","",COUNTIF('Log Sale'!$C$9:$C$308,$A74))</f>
        <v/>
      </c>
      <c r="G74" s="54">
        <f>IF($A74="","",SUMIF('Log Sale'!$C$9:$C$308,$A74,'Log Sale'!$K$9:$K$308))</f>
        <v/>
      </c>
      <c r="H74" s="55">
        <f>IF($A74="","",SUMIF('Log Sale'!$C$9:$C$308,$A74,'Log Sale'!$H$9:$H$308))</f>
        <v/>
      </c>
      <c r="I74" s="36">
        <f>IF($A74="","",$H74*Settings!$C$12)</f>
        <v/>
      </c>
      <c r="J74" s="56">
        <f>IF($A74="","",$H74+$I74)</f>
        <v/>
      </c>
      <c r="K74" s="57">
        <f>IF($A74="","",$A74)</f>
        <v/>
      </c>
    </row>
    <row r="75" ht="32" customHeight="1">
      <c r="A75" s="48">
        <f>IF(COUNTIF('Log Sale'!$C$9:$C$308,Settings!$C$14&amp;TEXT(1000+ROW()-7,"0000"))=0,"",Settings!$C$14&amp;TEXT(1000+ROW()-7,"0000"))</f>
        <v/>
      </c>
      <c r="B75" s="53">
        <f>IF($A75="","",_xlfn.MAXIFS('Log Sale'!$B$9:$B$308,'Log Sale'!$C$9:$C$308,$A75))</f>
        <v/>
      </c>
      <c r="C75" s="39" t="n"/>
      <c r="D75" s="42" t="n"/>
      <c r="E75" s="39" t="n"/>
      <c r="F75" s="32">
        <f>IF($A75="","",COUNTIF('Log Sale'!$C$9:$C$308,$A75))</f>
        <v/>
      </c>
      <c r="G75" s="54">
        <f>IF($A75="","",SUMIF('Log Sale'!$C$9:$C$308,$A75,'Log Sale'!$K$9:$K$308))</f>
        <v/>
      </c>
      <c r="H75" s="55">
        <f>IF($A75="","",SUMIF('Log Sale'!$C$9:$C$308,$A75,'Log Sale'!$H$9:$H$308))</f>
        <v/>
      </c>
      <c r="I75" s="36">
        <f>IF($A75="","",$H75*Settings!$C$12)</f>
        <v/>
      </c>
      <c r="J75" s="56">
        <f>IF($A75="","",$H75+$I75)</f>
        <v/>
      </c>
      <c r="K75" s="57">
        <f>IF($A75="","",$A75)</f>
        <v/>
      </c>
    </row>
    <row r="76" ht="32" customHeight="1">
      <c r="A76" s="48">
        <f>IF(COUNTIF('Log Sale'!$C$9:$C$308,Settings!$C$14&amp;TEXT(1000+ROW()-7,"0000"))=0,"",Settings!$C$14&amp;TEXT(1000+ROW()-7,"0000"))</f>
        <v/>
      </c>
      <c r="B76" s="53">
        <f>IF($A76="","",_xlfn.MAXIFS('Log Sale'!$B$9:$B$308,'Log Sale'!$C$9:$C$308,$A76))</f>
        <v/>
      </c>
      <c r="C76" s="39" t="n"/>
      <c r="D76" s="42" t="n"/>
      <c r="E76" s="39" t="n"/>
      <c r="F76" s="32">
        <f>IF($A76="","",COUNTIF('Log Sale'!$C$9:$C$308,$A76))</f>
        <v/>
      </c>
      <c r="G76" s="54">
        <f>IF($A76="","",SUMIF('Log Sale'!$C$9:$C$308,$A76,'Log Sale'!$K$9:$K$308))</f>
        <v/>
      </c>
      <c r="H76" s="55">
        <f>IF($A76="","",SUMIF('Log Sale'!$C$9:$C$308,$A76,'Log Sale'!$H$9:$H$308))</f>
        <v/>
      </c>
      <c r="I76" s="36">
        <f>IF($A76="","",$H76*Settings!$C$12)</f>
        <v/>
      </c>
      <c r="J76" s="56">
        <f>IF($A76="","",$H76+$I76)</f>
        <v/>
      </c>
      <c r="K76" s="57">
        <f>IF($A76="","",$A76)</f>
        <v/>
      </c>
    </row>
    <row r="77" ht="32" customHeight="1">
      <c r="A77" s="48">
        <f>IF(COUNTIF('Log Sale'!$C$9:$C$308,Settings!$C$14&amp;TEXT(1000+ROW()-7,"0000"))=0,"",Settings!$C$14&amp;TEXT(1000+ROW()-7,"0000"))</f>
        <v/>
      </c>
      <c r="B77" s="53">
        <f>IF($A77="","",_xlfn.MAXIFS('Log Sale'!$B$9:$B$308,'Log Sale'!$C$9:$C$308,$A77))</f>
        <v/>
      </c>
      <c r="C77" s="39" t="n"/>
      <c r="D77" s="42" t="n"/>
      <c r="E77" s="39" t="n"/>
      <c r="F77" s="32">
        <f>IF($A77="","",COUNTIF('Log Sale'!$C$9:$C$308,$A77))</f>
        <v/>
      </c>
      <c r="G77" s="54">
        <f>IF($A77="","",SUMIF('Log Sale'!$C$9:$C$308,$A77,'Log Sale'!$K$9:$K$308))</f>
        <v/>
      </c>
      <c r="H77" s="55">
        <f>IF($A77="","",SUMIF('Log Sale'!$C$9:$C$308,$A77,'Log Sale'!$H$9:$H$308))</f>
        <v/>
      </c>
      <c r="I77" s="36">
        <f>IF($A77="","",$H77*Settings!$C$12)</f>
        <v/>
      </c>
      <c r="J77" s="56">
        <f>IF($A77="","",$H77+$I77)</f>
        <v/>
      </c>
      <c r="K77" s="57">
        <f>IF($A77="","",$A77)</f>
        <v/>
      </c>
    </row>
    <row r="78" ht="32" customHeight="1">
      <c r="A78" s="48">
        <f>IF(COUNTIF('Log Sale'!$C$9:$C$308,Settings!$C$14&amp;TEXT(1000+ROW()-7,"0000"))=0,"",Settings!$C$14&amp;TEXT(1000+ROW()-7,"0000"))</f>
        <v/>
      </c>
      <c r="B78" s="53">
        <f>IF($A78="","",_xlfn.MAXIFS('Log Sale'!$B$9:$B$308,'Log Sale'!$C$9:$C$308,$A78))</f>
        <v/>
      </c>
      <c r="C78" s="39" t="n"/>
      <c r="D78" s="42" t="n"/>
      <c r="E78" s="39" t="n"/>
      <c r="F78" s="32">
        <f>IF($A78="","",COUNTIF('Log Sale'!$C$9:$C$308,$A78))</f>
        <v/>
      </c>
      <c r="G78" s="54">
        <f>IF($A78="","",SUMIF('Log Sale'!$C$9:$C$308,$A78,'Log Sale'!$K$9:$K$308))</f>
        <v/>
      </c>
      <c r="H78" s="55">
        <f>IF($A78="","",SUMIF('Log Sale'!$C$9:$C$308,$A78,'Log Sale'!$H$9:$H$308))</f>
        <v/>
      </c>
      <c r="I78" s="36">
        <f>IF($A78="","",$H78*Settings!$C$12)</f>
        <v/>
      </c>
      <c r="J78" s="56">
        <f>IF($A78="","",$H78+$I78)</f>
        <v/>
      </c>
      <c r="K78" s="57">
        <f>IF($A78="","",$A78)</f>
        <v/>
      </c>
    </row>
    <row r="79" ht="32" customHeight="1">
      <c r="A79" s="48">
        <f>IF(COUNTIF('Log Sale'!$C$9:$C$308,Settings!$C$14&amp;TEXT(1000+ROW()-7,"0000"))=0,"",Settings!$C$14&amp;TEXT(1000+ROW()-7,"0000"))</f>
        <v/>
      </c>
      <c r="B79" s="53">
        <f>IF($A79="","",_xlfn.MAXIFS('Log Sale'!$B$9:$B$308,'Log Sale'!$C$9:$C$308,$A79))</f>
        <v/>
      </c>
      <c r="C79" s="39" t="n"/>
      <c r="D79" s="42" t="n"/>
      <c r="E79" s="39" t="n"/>
      <c r="F79" s="32">
        <f>IF($A79="","",COUNTIF('Log Sale'!$C$9:$C$308,$A79))</f>
        <v/>
      </c>
      <c r="G79" s="54">
        <f>IF($A79="","",SUMIF('Log Sale'!$C$9:$C$308,$A79,'Log Sale'!$K$9:$K$308))</f>
        <v/>
      </c>
      <c r="H79" s="55">
        <f>IF($A79="","",SUMIF('Log Sale'!$C$9:$C$308,$A79,'Log Sale'!$H$9:$H$308))</f>
        <v/>
      </c>
      <c r="I79" s="36">
        <f>IF($A79="","",$H79*Settings!$C$12)</f>
        <v/>
      </c>
      <c r="J79" s="56">
        <f>IF($A79="","",$H79+$I79)</f>
        <v/>
      </c>
      <c r="K79" s="57">
        <f>IF($A79="","",$A79)</f>
        <v/>
      </c>
    </row>
    <row r="80" ht="32" customHeight="1">
      <c r="A80" s="48">
        <f>IF(COUNTIF('Log Sale'!$C$9:$C$308,Settings!$C$14&amp;TEXT(1000+ROW()-7,"0000"))=0,"",Settings!$C$14&amp;TEXT(1000+ROW()-7,"0000"))</f>
        <v/>
      </c>
      <c r="B80" s="53">
        <f>IF($A80="","",_xlfn.MAXIFS('Log Sale'!$B$9:$B$308,'Log Sale'!$C$9:$C$308,$A80))</f>
        <v/>
      </c>
      <c r="C80" s="39" t="n"/>
      <c r="D80" s="42" t="n"/>
      <c r="E80" s="39" t="n"/>
      <c r="F80" s="32">
        <f>IF($A80="","",COUNTIF('Log Sale'!$C$9:$C$308,$A80))</f>
        <v/>
      </c>
      <c r="G80" s="54">
        <f>IF($A80="","",SUMIF('Log Sale'!$C$9:$C$308,$A80,'Log Sale'!$K$9:$K$308))</f>
        <v/>
      </c>
      <c r="H80" s="55">
        <f>IF($A80="","",SUMIF('Log Sale'!$C$9:$C$308,$A80,'Log Sale'!$H$9:$H$308))</f>
        <v/>
      </c>
      <c r="I80" s="36">
        <f>IF($A80="","",$H80*Settings!$C$12)</f>
        <v/>
      </c>
      <c r="J80" s="56">
        <f>IF($A80="","",$H80+$I80)</f>
        <v/>
      </c>
      <c r="K80" s="57">
        <f>IF($A80="","",$A80)</f>
        <v/>
      </c>
    </row>
    <row r="81" ht="32" customHeight="1">
      <c r="A81" s="48">
        <f>IF(COUNTIF('Log Sale'!$C$9:$C$308,Settings!$C$14&amp;TEXT(1000+ROW()-7,"0000"))=0,"",Settings!$C$14&amp;TEXT(1000+ROW()-7,"0000"))</f>
        <v/>
      </c>
      <c r="B81" s="53">
        <f>IF($A81="","",_xlfn.MAXIFS('Log Sale'!$B$9:$B$308,'Log Sale'!$C$9:$C$308,$A81))</f>
        <v/>
      </c>
      <c r="C81" s="39" t="n"/>
      <c r="D81" s="42" t="n"/>
      <c r="E81" s="39" t="n"/>
      <c r="F81" s="32">
        <f>IF($A81="","",COUNTIF('Log Sale'!$C$9:$C$308,$A81))</f>
        <v/>
      </c>
      <c r="G81" s="54">
        <f>IF($A81="","",SUMIF('Log Sale'!$C$9:$C$308,$A81,'Log Sale'!$K$9:$K$308))</f>
        <v/>
      </c>
      <c r="H81" s="55">
        <f>IF($A81="","",SUMIF('Log Sale'!$C$9:$C$308,$A81,'Log Sale'!$H$9:$H$308))</f>
        <v/>
      </c>
      <c r="I81" s="36">
        <f>IF($A81="","",$H81*Settings!$C$12)</f>
        <v/>
      </c>
      <c r="J81" s="56">
        <f>IF($A81="","",$H81+$I81)</f>
        <v/>
      </c>
      <c r="K81" s="57">
        <f>IF($A81="","",$A81)</f>
        <v/>
      </c>
    </row>
    <row r="82" ht="32" customHeight="1">
      <c r="A82" s="48">
        <f>IF(COUNTIF('Log Sale'!$C$9:$C$308,Settings!$C$14&amp;TEXT(1000+ROW()-7,"0000"))=0,"",Settings!$C$14&amp;TEXT(1000+ROW()-7,"0000"))</f>
        <v/>
      </c>
      <c r="B82" s="53">
        <f>IF($A82="","",_xlfn.MAXIFS('Log Sale'!$B$9:$B$308,'Log Sale'!$C$9:$C$308,$A82))</f>
        <v/>
      </c>
      <c r="C82" s="39" t="n"/>
      <c r="D82" s="42" t="n"/>
      <c r="E82" s="39" t="n"/>
      <c r="F82" s="32">
        <f>IF($A82="","",COUNTIF('Log Sale'!$C$9:$C$308,$A82))</f>
        <v/>
      </c>
      <c r="G82" s="54">
        <f>IF($A82="","",SUMIF('Log Sale'!$C$9:$C$308,$A82,'Log Sale'!$K$9:$K$308))</f>
        <v/>
      </c>
      <c r="H82" s="55">
        <f>IF($A82="","",SUMIF('Log Sale'!$C$9:$C$308,$A82,'Log Sale'!$H$9:$H$308))</f>
        <v/>
      </c>
      <c r="I82" s="36">
        <f>IF($A82="","",$H82*Settings!$C$12)</f>
        <v/>
      </c>
      <c r="J82" s="56">
        <f>IF($A82="","",$H82+$I82)</f>
        <v/>
      </c>
      <c r="K82" s="57">
        <f>IF($A82="","",$A82)</f>
        <v/>
      </c>
    </row>
    <row r="83" ht="32" customHeight="1">
      <c r="A83" s="48">
        <f>IF(COUNTIF('Log Sale'!$C$9:$C$308,Settings!$C$14&amp;TEXT(1000+ROW()-7,"0000"))=0,"",Settings!$C$14&amp;TEXT(1000+ROW()-7,"0000"))</f>
        <v/>
      </c>
      <c r="B83" s="53">
        <f>IF($A83="","",_xlfn.MAXIFS('Log Sale'!$B$9:$B$308,'Log Sale'!$C$9:$C$308,$A83))</f>
        <v/>
      </c>
      <c r="C83" s="39" t="n"/>
      <c r="D83" s="42" t="n"/>
      <c r="E83" s="39" t="n"/>
      <c r="F83" s="32">
        <f>IF($A83="","",COUNTIF('Log Sale'!$C$9:$C$308,$A83))</f>
        <v/>
      </c>
      <c r="G83" s="54">
        <f>IF($A83="","",SUMIF('Log Sale'!$C$9:$C$308,$A83,'Log Sale'!$K$9:$K$308))</f>
        <v/>
      </c>
      <c r="H83" s="55">
        <f>IF($A83="","",SUMIF('Log Sale'!$C$9:$C$308,$A83,'Log Sale'!$H$9:$H$308))</f>
        <v/>
      </c>
      <c r="I83" s="36">
        <f>IF($A83="","",$H83*Settings!$C$12)</f>
        <v/>
      </c>
      <c r="J83" s="56">
        <f>IF($A83="","",$H83+$I83)</f>
        <v/>
      </c>
      <c r="K83" s="57">
        <f>IF($A83="","",$A83)</f>
        <v/>
      </c>
    </row>
    <row r="84" ht="32" customHeight="1">
      <c r="A84" s="48">
        <f>IF(COUNTIF('Log Sale'!$C$9:$C$308,Settings!$C$14&amp;TEXT(1000+ROW()-7,"0000"))=0,"",Settings!$C$14&amp;TEXT(1000+ROW()-7,"0000"))</f>
        <v/>
      </c>
      <c r="B84" s="53">
        <f>IF($A84="","",_xlfn.MAXIFS('Log Sale'!$B$9:$B$308,'Log Sale'!$C$9:$C$308,$A84))</f>
        <v/>
      </c>
      <c r="C84" s="39" t="n"/>
      <c r="D84" s="42" t="n"/>
      <c r="E84" s="39" t="n"/>
      <c r="F84" s="32">
        <f>IF($A84="","",COUNTIF('Log Sale'!$C$9:$C$308,$A84))</f>
        <v/>
      </c>
      <c r="G84" s="54">
        <f>IF($A84="","",SUMIF('Log Sale'!$C$9:$C$308,$A84,'Log Sale'!$K$9:$K$308))</f>
        <v/>
      </c>
      <c r="H84" s="55">
        <f>IF($A84="","",SUMIF('Log Sale'!$C$9:$C$308,$A84,'Log Sale'!$H$9:$H$308))</f>
        <v/>
      </c>
      <c r="I84" s="36">
        <f>IF($A84="","",$H84*Settings!$C$12)</f>
        <v/>
      </c>
      <c r="J84" s="56">
        <f>IF($A84="","",$H84+$I84)</f>
        <v/>
      </c>
      <c r="K84" s="57">
        <f>IF($A84="","",$A84)</f>
        <v/>
      </c>
    </row>
    <row r="85" ht="32" customHeight="1">
      <c r="A85" s="48">
        <f>IF(COUNTIF('Log Sale'!$C$9:$C$308,Settings!$C$14&amp;TEXT(1000+ROW()-7,"0000"))=0,"",Settings!$C$14&amp;TEXT(1000+ROW()-7,"0000"))</f>
        <v/>
      </c>
      <c r="B85" s="53">
        <f>IF($A85="","",_xlfn.MAXIFS('Log Sale'!$B$9:$B$308,'Log Sale'!$C$9:$C$308,$A85))</f>
        <v/>
      </c>
      <c r="C85" s="39" t="n"/>
      <c r="D85" s="42" t="n"/>
      <c r="E85" s="39" t="n"/>
      <c r="F85" s="32">
        <f>IF($A85="","",COUNTIF('Log Sale'!$C$9:$C$308,$A85))</f>
        <v/>
      </c>
      <c r="G85" s="54">
        <f>IF($A85="","",SUMIF('Log Sale'!$C$9:$C$308,$A85,'Log Sale'!$K$9:$K$308))</f>
        <v/>
      </c>
      <c r="H85" s="55">
        <f>IF($A85="","",SUMIF('Log Sale'!$C$9:$C$308,$A85,'Log Sale'!$H$9:$H$308))</f>
        <v/>
      </c>
      <c r="I85" s="36">
        <f>IF($A85="","",$H85*Settings!$C$12)</f>
        <v/>
      </c>
      <c r="J85" s="56">
        <f>IF($A85="","",$H85+$I85)</f>
        <v/>
      </c>
      <c r="K85" s="57">
        <f>IF($A85="","",$A85)</f>
        <v/>
      </c>
    </row>
    <row r="86" ht="32" customHeight="1">
      <c r="A86" s="48">
        <f>IF(COUNTIF('Log Sale'!$C$9:$C$308,Settings!$C$14&amp;TEXT(1000+ROW()-7,"0000"))=0,"",Settings!$C$14&amp;TEXT(1000+ROW()-7,"0000"))</f>
        <v/>
      </c>
      <c r="B86" s="53">
        <f>IF($A86="","",_xlfn.MAXIFS('Log Sale'!$B$9:$B$308,'Log Sale'!$C$9:$C$308,$A86))</f>
        <v/>
      </c>
      <c r="C86" s="39" t="n"/>
      <c r="D86" s="42" t="n"/>
      <c r="E86" s="39" t="n"/>
      <c r="F86" s="32">
        <f>IF($A86="","",COUNTIF('Log Sale'!$C$9:$C$308,$A86))</f>
        <v/>
      </c>
      <c r="G86" s="54">
        <f>IF($A86="","",SUMIF('Log Sale'!$C$9:$C$308,$A86,'Log Sale'!$K$9:$K$308))</f>
        <v/>
      </c>
      <c r="H86" s="55">
        <f>IF($A86="","",SUMIF('Log Sale'!$C$9:$C$308,$A86,'Log Sale'!$H$9:$H$308))</f>
        <v/>
      </c>
      <c r="I86" s="36">
        <f>IF($A86="","",$H86*Settings!$C$12)</f>
        <v/>
      </c>
      <c r="J86" s="56">
        <f>IF($A86="","",$H86+$I86)</f>
        <v/>
      </c>
      <c r="K86" s="57">
        <f>IF($A86="","",$A86)</f>
        <v/>
      </c>
    </row>
    <row r="87" ht="32" customHeight="1">
      <c r="A87" s="48">
        <f>IF(COUNTIF('Log Sale'!$C$9:$C$308,Settings!$C$14&amp;TEXT(1000+ROW()-7,"0000"))=0,"",Settings!$C$14&amp;TEXT(1000+ROW()-7,"0000"))</f>
        <v/>
      </c>
      <c r="B87" s="53">
        <f>IF($A87="","",_xlfn.MAXIFS('Log Sale'!$B$9:$B$308,'Log Sale'!$C$9:$C$308,$A87))</f>
        <v/>
      </c>
      <c r="C87" s="39" t="n"/>
      <c r="D87" s="42" t="n"/>
      <c r="E87" s="39" t="n"/>
      <c r="F87" s="32">
        <f>IF($A87="","",COUNTIF('Log Sale'!$C$9:$C$308,$A87))</f>
        <v/>
      </c>
      <c r="G87" s="54">
        <f>IF($A87="","",SUMIF('Log Sale'!$C$9:$C$308,$A87,'Log Sale'!$K$9:$K$308))</f>
        <v/>
      </c>
      <c r="H87" s="55">
        <f>IF($A87="","",SUMIF('Log Sale'!$C$9:$C$308,$A87,'Log Sale'!$H$9:$H$308))</f>
        <v/>
      </c>
      <c r="I87" s="36">
        <f>IF($A87="","",$H87*Settings!$C$12)</f>
        <v/>
      </c>
      <c r="J87" s="56">
        <f>IF($A87="","",$H87+$I87)</f>
        <v/>
      </c>
      <c r="K87" s="57">
        <f>IF($A87="","",$A87)</f>
        <v/>
      </c>
    </row>
    <row r="88" ht="32" customHeight="1">
      <c r="A88" s="48">
        <f>IF(COUNTIF('Log Sale'!$C$9:$C$308,Settings!$C$14&amp;TEXT(1000+ROW()-7,"0000"))=0,"",Settings!$C$14&amp;TEXT(1000+ROW()-7,"0000"))</f>
        <v/>
      </c>
      <c r="B88" s="53">
        <f>IF($A88="","",_xlfn.MAXIFS('Log Sale'!$B$9:$B$308,'Log Sale'!$C$9:$C$308,$A88))</f>
        <v/>
      </c>
      <c r="C88" s="39" t="n"/>
      <c r="D88" s="42" t="n"/>
      <c r="E88" s="39" t="n"/>
      <c r="F88" s="32">
        <f>IF($A88="","",COUNTIF('Log Sale'!$C$9:$C$308,$A88))</f>
        <v/>
      </c>
      <c r="G88" s="54">
        <f>IF($A88="","",SUMIF('Log Sale'!$C$9:$C$308,$A88,'Log Sale'!$K$9:$K$308))</f>
        <v/>
      </c>
      <c r="H88" s="55">
        <f>IF($A88="","",SUMIF('Log Sale'!$C$9:$C$308,$A88,'Log Sale'!$H$9:$H$308))</f>
        <v/>
      </c>
      <c r="I88" s="36">
        <f>IF($A88="","",$H88*Settings!$C$12)</f>
        <v/>
      </c>
      <c r="J88" s="56">
        <f>IF($A88="","",$H88+$I88)</f>
        <v/>
      </c>
      <c r="K88" s="57">
        <f>IF($A88="","",$A88)</f>
        <v/>
      </c>
    </row>
    <row r="89" ht="32" customHeight="1">
      <c r="A89" s="48">
        <f>IF(COUNTIF('Log Sale'!$C$9:$C$308,Settings!$C$14&amp;TEXT(1000+ROW()-7,"0000"))=0,"",Settings!$C$14&amp;TEXT(1000+ROW()-7,"0000"))</f>
        <v/>
      </c>
      <c r="B89" s="53">
        <f>IF($A89="","",_xlfn.MAXIFS('Log Sale'!$B$9:$B$308,'Log Sale'!$C$9:$C$308,$A89))</f>
        <v/>
      </c>
      <c r="C89" s="39" t="n"/>
      <c r="D89" s="42" t="n"/>
      <c r="E89" s="39" t="n"/>
      <c r="F89" s="32">
        <f>IF($A89="","",COUNTIF('Log Sale'!$C$9:$C$308,$A89))</f>
        <v/>
      </c>
      <c r="G89" s="54">
        <f>IF($A89="","",SUMIF('Log Sale'!$C$9:$C$308,$A89,'Log Sale'!$K$9:$K$308))</f>
        <v/>
      </c>
      <c r="H89" s="55">
        <f>IF($A89="","",SUMIF('Log Sale'!$C$9:$C$308,$A89,'Log Sale'!$H$9:$H$308))</f>
        <v/>
      </c>
      <c r="I89" s="36">
        <f>IF($A89="","",$H89*Settings!$C$12)</f>
        <v/>
      </c>
      <c r="J89" s="56">
        <f>IF($A89="","",$H89+$I89)</f>
        <v/>
      </c>
      <c r="K89" s="57">
        <f>IF($A89="","",$A89)</f>
        <v/>
      </c>
    </row>
    <row r="90" ht="32" customHeight="1">
      <c r="A90" s="48">
        <f>IF(COUNTIF('Log Sale'!$C$9:$C$308,Settings!$C$14&amp;TEXT(1000+ROW()-7,"0000"))=0,"",Settings!$C$14&amp;TEXT(1000+ROW()-7,"0000"))</f>
        <v/>
      </c>
      <c r="B90" s="53">
        <f>IF($A90="","",_xlfn.MAXIFS('Log Sale'!$B$9:$B$308,'Log Sale'!$C$9:$C$308,$A90))</f>
        <v/>
      </c>
      <c r="C90" s="39" t="n"/>
      <c r="D90" s="42" t="n"/>
      <c r="E90" s="39" t="n"/>
      <c r="F90" s="32">
        <f>IF($A90="","",COUNTIF('Log Sale'!$C$9:$C$308,$A90))</f>
        <v/>
      </c>
      <c r="G90" s="54">
        <f>IF($A90="","",SUMIF('Log Sale'!$C$9:$C$308,$A90,'Log Sale'!$K$9:$K$308))</f>
        <v/>
      </c>
      <c r="H90" s="55">
        <f>IF($A90="","",SUMIF('Log Sale'!$C$9:$C$308,$A90,'Log Sale'!$H$9:$H$308))</f>
        <v/>
      </c>
      <c r="I90" s="36">
        <f>IF($A90="","",$H90*Settings!$C$12)</f>
        <v/>
      </c>
      <c r="J90" s="56">
        <f>IF($A90="","",$H90+$I90)</f>
        <v/>
      </c>
      <c r="K90" s="57">
        <f>IF($A90="","",$A90)</f>
        <v/>
      </c>
    </row>
    <row r="91" ht="32" customHeight="1">
      <c r="A91" s="48">
        <f>IF(COUNTIF('Log Sale'!$C$9:$C$308,Settings!$C$14&amp;TEXT(1000+ROW()-7,"0000"))=0,"",Settings!$C$14&amp;TEXT(1000+ROW()-7,"0000"))</f>
        <v/>
      </c>
      <c r="B91" s="53">
        <f>IF($A91="","",_xlfn.MAXIFS('Log Sale'!$B$9:$B$308,'Log Sale'!$C$9:$C$308,$A91))</f>
        <v/>
      </c>
      <c r="C91" s="39" t="n"/>
      <c r="D91" s="42" t="n"/>
      <c r="E91" s="39" t="n"/>
      <c r="F91" s="32">
        <f>IF($A91="","",COUNTIF('Log Sale'!$C$9:$C$308,$A91))</f>
        <v/>
      </c>
      <c r="G91" s="54">
        <f>IF($A91="","",SUMIF('Log Sale'!$C$9:$C$308,$A91,'Log Sale'!$K$9:$K$308))</f>
        <v/>
      </c>
      <c r="H91" s="55">
        <f>IF($A91="","",SUMIF('Log Sale'!$C$9:$C$308,$A91,'Log Sale'!$H$9:$H$308))</f>
        <v/>
      </c>
      <c r="I91" s="36">
        <f>IF($A91="","",$H91*Settings!$C$12)</f>
        <v/>
      </c>
      <c r="J91" s="56">
        <f>IF($A91="","",$H91+$I91)</f>
        <v/>
      </c>
      <c r="K91" s="57">
        <f>IF($A91="","",$A91)</f>
        <v/>
      </c>
    </row>
    <row r="92" ht="32" customHeight="1">
      <c r="A92" s="48">
        <f>IF(COUNTIF('Log Sale'!$C$9:$C$308,Settings!$C$14&amp;TEXT(1000+ROW()-7,"0000"))=0,"",Settings!$C$14&amp;TEXT(1000+ROW()-7,"0000"))</f>
        <v/>
      </c>
      <c r="B92" s="53">
        <f>IF($A92="","",_xlfn.MAXIFS('Log Sale'!$B$9:$B$308,'Log Sale'!$C$9:$C$308,$A92))</f>
        <v/>
      </c>
      <c r="C92" s="39" t="n"/>
      <c r="D92" s="42" t="n"/>
      <c r="E92" s="39" t="n"/>
      <c r="F92" s="32">
        <f>IF($A92="","",COUNTIF('Log Sale'!$C$9:$C$308,$A92))</f>
        <v/>
      </c>
      <c r="G92" s="54">
        <f>IF($A92="","",SUMIF('Log Sale'!$C$9:$C$308,$A92,'Log Sale'!$K$9:$K$308))</f>
        <v/>
      </c>
      <c r="H92" s="55">
        <f>IF($A92="","",SUMIF('Log Sale'!$C$9:$C$308,$A92,'Log Sale'!$H$9:$H$308))</f>
        <v/>
      </c>
      <c r="I92" s="36">
        <f>IF($A92="","",$H92*Settings!$C$12)</f>
        <v/>
      </c>
      <c r="J92" s="56">
        <f>IF($A92="","",$H92+$I92)</f>
        <v/>
      </c>
      <c r="K92" s="57">
        <f>IF($A92="","",$A92)</f>
        <v/>
      </c>
    </row>
    <row r="93" ht="32" customHeight="1">
      <c r="A93" s="48">
        <f>IF(COUNTIF('Log Sale'!$C$9:$C$308,Settings!$C$14&amp;TEXT(1000+ROW()-7,"0000"))=0,"",Settings!$C$14&amp;TEXT(1000+ROW()-7,"0000"))</f>
        <v/>
      </c>
      <c r="B93" s="53">
        <f>IF($A93="","",_xlfn.MAXIFS('Log Sale'!$B$9:$B$308,'Log Sale'!$C$9:$C$308,$A93))</f>
        <v/>
      </c>
      <c r="C93" s="39" t="n"/>
      <c r="D93" s="42" t="n"/>
      <c r="E93" s="39" t="n"/>
      <c r="F93" s="32">
        <f>IF($A93="","",COUNTIF('Log Sale'!$C$9:$C$308,$A93))</f>
        <v/>
      </c>
      <c r="G93" s="54">
        <f>IF($A93="","",SUMIF('Log Sale'!$C$9:$C$308,$A93,'Log Sale'!$K$9:$K$308))</f>
        <v/>
      </c>
      <c r="H93" s="55">
        <f>IF($A93="","",SUMIF('Log Sale'!$C$9:$C$308,$A93,'Log Sale'!$H$9:$H$308))</f>
        <v/>
      </c>
      <c r="I93" s="36">
        <f>IF($A93="","",$H93*Settings!$C$12)</f>
        <v/>
      </c>
      <c r="J93" s="56">
        <f>IF($A93="","",$H93+$I93)</f>
        <v/>
      </c>
      <c r="K93" s="57">
        <f>IF($A93="","",$A93)</f>
        <v/>
      </c>
    </row>
    <row r="94" ht="32" customHeight="1">
      <c r="A94" s="48">
        <f>IF(COUNTIF('Log Sale'!$C$9:$C$308,Settings!$C$14&amp;TEXT(1000+ROW()-7,"0000"))=0,"",Settings!$C$14&amp;TEXT(1000+ROW()-7,"0000"))</f>
        <v/>
      </c>
      <c r="B94" s="53">
        <f>IF($A94="","",_xlfn.MAXIFS('Log Sale'!$B$9:$B$308,'Log Sale'!$C$9:$C$308,$A94))</f>
        <v/>
      </c>
      <c r="C94" s="39" t="n"/>
      <c r="D94" s="42" t="n"/>
      <c r="E94" s="39" t="n"/>
      <c r="F94" s="32">
        <f>IF($A94="","",COUNTIF('Log Sale'!$C$9:$C$308,$A94))</f>
        <v/>
      </c>
      <c r="G94" s="54">
        <f>IF($A94="","",SUMIF('Log Sale'!$C$9:$C$308,$A94,'Log Sale'!$K$9:$K$308))</f>
        <v/>
      </c>
      <c r="H94" s="55">
        <f>IF($A94="","",SUMIF('Log Sale'!$C$9:$C$308,$A94,'Log Sale'!$H$9:$H$308))</f>
        <v/>
      </c>
      <c r="I94" s="36">
        <f>IF($A94="","",$H94*Settings!$C$12)</f>
        <v/>
      </c>
      <c r="J94" s="56">
        <f>IF($A94="","",$H94+$I94)</f>
        <v/>
      </c>
      <c r="K94" s="57">
        <f>IF($A94="","",$A94)</f>
        <v/>
      </c>
    </row>
    <row r="95" ht="32" customHeight="1">
      <c r="A95" s="48">
        <f>IF(COUNTIF('Log Sale'!$C$9:$C$308,Settings!$C$14&amp;TEXT(1000+ROW()-7,"0000"))=0,"",Settings!$C$14&amp;TEXT(1000+ROW()-7,"0000"))</f>
        <v/>
      </c>
      <c r="B95" s="53">
        <f>IF($A95="","",_xlfn.MAXIFS('Log Sale'!$B$9:$B$308,'Log Sale'!$C$9:$C$308,$A95))</f>
        <v/>
      </c>
      <c r="C95" s="39" t="n"/>
      <c r="D95" s="42" t="n"/>
      <c r="E95" s="39" t="n"/>
      <c r="F95" s="32">
        <f>IF($A95="","",COUNTIF('Log Sale'!$C$9:$C$308,$A95))</f>
        <v/>
      </c>
      <c r="G95" s="54">
        <f>IF($A95="","",SUMIF('Log Sale'!$C$9:$C$308,$A95,'Log Sale'!$K$9:$K$308))</f>
        <v/>
      </c>
      <c r="H95" s="55">
        <f>IF($A95="","",SUMIF('Log Sale'!$C$9:$C$308,$A95,'Log Sale'!$H$9:$H$308))</f>
        <v/>
      </c>
      <c r="I95" s="36">
        <f>IF($A95="","",$H95*Settings!$C$12)</f>
        <v/>
      </c>
      <c r="J95" s="56">
        <f>IF($A95="","",$H95+$I95)</f>
        <v/>
      </c>
      <c r="K95" s="57">
        <f>IF($A95="","",$A95)</f>
        <v/>
      </c>
    </row>
    <row r="96" ht="32" customHeight="1">
      <c r="A96" s="48">
        <f>IF(COUNTIF('Log Sale'!$C$9:$C$308,Settings!$C$14&amp;TEXT(1000+ROW()-7,"0000"))=0,"",Settings!$C$14&amp;TEXT(1000+ROW()-7,"0000"))</f>
        <v/>
      </c>
      <c r="B96" s="53">
        <f>IF($A96="","",_xlfn.MAXIFS('Log Sale'!$B$9:$B$308,'Log Sale'!$C$9:$C$308,$A96))</f>
        <v/>
      </c>
      <c r="C96" s="39" t="n"/>
      <c r="D96" s="42" t="n"/>
      <c r="E96" s="39" t="n"/>
      <c r="F96" s="32">
        <f>IF($A96="","",COUNTIF('Log Sale'!$C$9:$C$308,$A96))</f>
        <v/>
      </c>
      <c r="G96" s="54">
        <f>IF($A96="","",SUMIF('Log Sale'!$C$9:$C$308,$A96,'Log Sale'!$K$9:$K$308))</f>
        <v/>
      </c>
      <c r="H96" s="55">
        <f>IF($A96="","",SUMIF('Log Sale'!$C$9:$C$308,$A96,'Log Sale'!$H$9:$H$308))</f>
        <v/>
      </c>
      <c r="I96" s="36">
        <f>IF($A96="","",$H96*Settings!$C$12)</f>
        <v/>
      </c>
      <c r="J96" s="56">
        <f>IF($A96="","",$H96+$I96)</f>
        <v/>
      </c>
      <c r="K96" s="57">
        <f>IF($A96="","",$A96)</f>
        <v/>
      </c>
    </row>
    <row r="97" ht="32" customHeight="1">
      <c r="A97" s="48">
        <f>IF(COUNTIF('Log Sale'!$C$9:$C$308,Settings!$C$14&amp;TEXT(1000+ROW()-7,"0000"))=0,"",Settings!$C$14&amp;TEXT(1000+ROW()-7,"0000"))</f>
        <v/>
      </c>
      <c r="B97" s="53">
        <f>IF($A97="","",_xlfn.MAXIFS('Log Sale'!$B$9:$B$308,'Log Sale'!$C$9:$C$308,$A97))</f>
        <v/>
      </c>
      <c r="C97" s="39" t="n"/>
      <c r="D97" s="42" t="n"/>
      <c r="E97" s="39" t="n"/>
      <c r="F97" s="32">
        <f>IF($A97="","",COUNTIF('Log Sale'!$C$9:$C$308,$A97))</f>
        <v/>
      </c>
      <c r="G97" s="54">
        <f>IF($A97="","",SUMIF('Log Sale'!$C$9:$C$308,$A97,'Log Sale'!$K$9:$K$308))</f>
        <v/>
      </c>
      <c r="H97" s="55">
        <f>IF($A97="","",SUMIF('Log Sale'!$C$9:$C$308,$A97,'Log Sale'!$H$9:$H$308))</f>
        <v/>
      </c>
      <c r="I97" s="36">
        <f>IF($A97="","",$H97*Settings!$C$12)</f>
        <v/>
      </c>
      <c r="J97" s="56">
        <f>IF($A97="","",$H97+$I97)</f>
        <v/>
      </c>
      <c r="K97" s="57">
        <f>IF($A97="","",$A97)</f>
        <v/>
      </c>
    </row>
    <row r="98" ht="32" customHeight="1">
      <c r="A98" s="48">
        <f>IF(COUNTIF('Log Sale'!$C$9:$C$308,Settings!$C$14&amp;TEXT(1000+ROW()-7,"0000"))=0,"",Settings!$C$14&amp;TEXT(1000+ROW()-7,"0000"))</f>
        <v/>
      </c>
      <c r="B98" s="53">
        <f>IF($A98="","",_xlfn.MAXIFS('Log Sale'!$B$9:$B$308,'Log Sale'!$C$9:$C$308,$A98))</f>
        <v/>
      </c>
      <c r="C98" s="39" t="n"/>
      <c r="D98" s="42" t="n"/>
      <c r="E98" s="39" t="n"/>
      <c r="F98" s="32">
        <f>IF($A98="","",COUNTIF('Log Sale'!$C$9:$C$308,$A98))</f>
        <v/>
      </c>
      <c r="G98" s="54">
        <f>IF($A98="","",SUMIF('Log Sale'!$C$9:$C$308,$A98,'Log Sale'!$K$9:$K$308))</f>
        <v/>
      </c>
      <c r="H98" s="55">
        <f>IF($A98="","",SUMIF('Log Sale'!$C$9:$C$308,$A98,'Log Sale'!$H$9:$H$308))</f>
        <v/>
      </c>
      <c r="I98" s="36">
        <f>IF($A98="","",$H98*Settings!$C$12)</f>
        <v/>
      </c>
      <c r="J98" s="56">
        <f>IF($A98="","",$H98+$I98)</f>
        <v/>
      </c>
      <c r="K98" s="57">
        <f>IF($A98="","",$A98)</f>
        <v/>
      </c>
    </row>
    <row r="99" ht="32" customHeight="1">
      <c r="A99" s="48">
        <f>IF(COUNTIF('Log Sale'!$C$9:$C$308,Settings!$C$14&amp;TEXT(1000+ROW()-7,"0000"))=0,"",Settings!$C$14&amp;TEXT(1000+ROW()-7,"0000"))</f>
        <v/>
      </c>
      <c r="B99" s="53">
        <f>IF($A99="","",_xlfn.MAXIFS('Log Sale'!$B$9:$B$308,'Log Sale'!$C$9:$C$308,$A99))</f>
        <v/>
      </c>
      <c r="C99" s="39" t="n"/>
      <c r="D99" s="42" t="n"/>
      <c r="E99" s="39" t="n"/>
      <c r="F99" s="32">
        <f>IF($A99="","",COUNTIF('Log Sale'!$C$9:$C$308,$A99))</f>
        <v/>
      </c>
      <c r="G99" s="54">
        <f>IF($A99="","",SUMIF('Log Sale'!$C$9:$C$308,$A99,'Log Sale'!$K$9:$K$308))</f>
        <v/>
      </c>
      <c r="H99" s="55">
        <f>IF($A99="","",SUMIF('Log Sale'!$C$9:$C$308,$A99,'Log Sale'!$H$9:$H$308))</f>
        <v/>
      </c>
      <c r="I99" s="36">
        <f>IF($A99="","",$H99*Settings!$C$12)</f>
        <v/>
      </c>
      <c r="J99" s="56">
        <f>IF($A99="","",$H99+$I99)</f>
        <v/>
      </c>
      <c r="K99" s="57">
        <f>IF($A99="","",$A99)</f>
        <v/>
      </c>
    </row>
    <row r="100" ht="32" customHeight="1">
      <c r="A100" s="48">
        <f>IF(COUNTIF('Log Sale'!$C$9:$C$308,Settings!$C$14&amp;TEXT(1000+ROW()-7,"0000"))=0,"",Settings!$C$14&amp;TEXT(1000+ROW()-7,"0000"))</f>
        <v/>
      </c>
      <c r="B100" s="53">
        <f>IF($A100="","",_xlfn.MAXIFS('Log Sale'!$B$9:$B$308,'Log Sale'!$C$9:$C$308,$A100))</f>
        <v/>
      </c>
      <c r="C100" s="39" t="n"/>
      <c r="D100" s="42" t="n"/>
      <c r="E100" s="39" t="n"/>
      <c r="F100" s="32">
        <f>IF($A100="","",COUNTIF('Log Sale'!$C$9:$C$308,$A100))</f>
        <v/>
      </c>
      <c r="G100" s="54">
        <f>IF($A100="","",SUMIF('Log Sale'!$C$9:$C$308,$A100,'Log Sale'!$K$9:$K$308))</f>
        <v/>
      </c>
      <c r="H100" s="55">
        <f>IF($A100="","",SUMIF('Log Sale'!$C$9:$C$308,$A100,'Log Sale'!$H$9:$H$308))</f>
        <v/>
      </c>
      <c r="I100" s="36">
        <f>IF($A100="","",$H100*Settings!$C$12)</f>
        <v/>
      </c>
      <c r="J100" s="56">
        <f>IF($A100="","",$H100+$I100)</f>
        <v/>
      </c>
      <c r="K100" s="57">
        <f>IF($A100="","",$A100)</f>
        <v/>
      </c>
    </row>
    <row r="101" ht="32" customHeight="1">
      <c r="A101" s="48">
        <f>IF(COUNTIF('Log Sale'!$C$9:$C$308,Settings!$C$14&amp;TEXT(1000+ROW()-7,"0000"))=0,"",Settings!$C$14&amp;TEXT(1000+ROW()-7,"0000"))</f>
        <v/>
      </c>
      <c r="B101" s="53">
        <f>IF($A101="","",_xlfn.MAXIFS('Log Sale'!$B$9:$B$308,'Log Sale'!$C$9:$C$308,$A101))</f>
        <v/>
      </c>
      <c r="C101" s="39" t="n"/>
      <c r="D101" s="42" t="n"/>
      <c r="E101" s="39" t="n"/>
      <c r="F101" s="32">
        <f>IF($A101="","",COUNTIF('Log Sale'!$C$9:$C$308,$A101))</f>
        <v/>
      </c>
      <c r="G101" s="54">
        <f>IF($A101="","",SUMIF('Log Sale'!$C$9:$C$308,$A101,'Log Sale'!$K$9:$K$308))</f>
        <v/>
      </c>
      <c r="H101" s="55">
        <f>IF($A101="","",SUMIF('Log Sale'!$C$9:$C$308,$A101,'Log Sale'!$H$9:$H$308))</f>
        <v/>
      </c>
      <c r="I101" s="36">
        <f>IF($A101="","",$H101*Settings!$C$12)</f>
        <v/>
      </c>
      <c r="J101" s="56">
        <f>IF($A101="","",$H101+$I101)</f>
        <v/>
      </c>
      <c r="K101" s="57">
        <f>IF($A101="","",$A101)</f>
        <v/>
      </c>
    </row>
    <row r="102" ht="32" customHeight="1">
      <c r="A102" s="48">
        <f>IF(COUNTIF('Log Sale'!$C$9:$C$308,Settings!$C$14&amp;TEXT(1000+ROW()-7,"0000"))=0,"",Settings!$C$14&amp;TEXT(1000+ROW()-7,"0000"))</f>
        <v/>
      </c>
      <c r="B102" s="53">
        <f>IF($A102="","",_xlfn.MAXIFS('Log Sale'!$B$9:$B$308,'Log Sale'!$C$9:$C$308,$A102))</f>
        <v/>
      </c>
      <c r="C102" s="39" t="n"/>
      <c r="D102" s="42" t="n"/>
      <c r="E102" s="39" t="n"/>
      <c r="F102" s="32">
        <f>IF($A102="","",COUNTIF('Log Sale'!$C$9:$C$308,$A102))</f>
        <v/>
      </c>
      <c r="G102" s="54">
        <f>IF($A102="","",SUMIF('Log Sale'!$C$9:$C$308,$A102,'Log Sale'!$K$9:$K$308))</f>
        <v/>
      </c>
      <c r="H102" s="55">
        <f>IF($A102="","",SUMIF('Log Sale'!$C$9:$C$308,$A102,'Log Sale'!$H$9:$H$308))</f>
        <v/>
      </c>
      <c r="I102" s="36">
        <f>IF($A102="","",$H102*Settings!$C$12)</f>
        <v/>
      </c>
      <c r="J102" s="56">
        <f>IF($A102="","",$H102+$I102)</f>
        <v/>
      </c>
      <c r="K102" s="57">
        <f>IF($A102="","",$A102)</f>
        <v/>
      </c>
    </row>
    <row r="103" ht="32" customHeight="1">
      <c r="A103" s="48">
        <f>IF(COUNTIF('Log Sale'!$C$9:$C$308,Settings!$C$14&amp;TEXT(1000+ROW()-7,"0000"))=0,"",Settings!$C$14&amp;TEXT(1000+ROW()-7,"0000"))</f>
        <v/>
      </c>
      <c r="B103" s="53">
        <f>IF($A103="","",_xlfn.MAXIFS('Log Sale'!$B$9:$B$308,'Log Sale'!$C$9:$C$308,$A103))</f>
        <v/>
      </c>
      <c r="C103" s="39" t="n"/>
      <c r="D103" s="42" t="n"/>
      <c r="E103" s="39" t="n"/>
      <c r="F103" s="32">
        <f>IF($A103="","",COUNTIF('Log Sale'!$C$9:$C$308,$A103))</f>
        <v/>
      </c>
      <c r="G103" s="54">
        <f>IF($A103="","",SUMIF('Log Sale'!$C$9:$C$308,$A103,'Log Sale'!$K$9:$K$308))</f>
        <v/>
      </c>
      <c r="H103" s="55">
        <f>IF($A103="","",SUMIF('Log Sale'!$C$9:$C$308,$A103,'Log Sale'!$H$9:$H$308))</f>
        <v/>
      </c>
      <c r="I103" s="36">
        <f>IF($A103="","",$H103*Settings!$C$12)</f>
        <v/>
      </c>
      <c r="J103" s="56">
        <f>IF($A103="","",$H103+$I103)</f>
        <v/>
      </c>
      <c r="K103" s="57">
        <f>IF($A103="","",$A103)</f>
        <v/>
      </c>
    </row>
    <row r="104" ht="32" customHeight="1">
      <c r="A104" s="48">
        <f>IF(COUNTIF('Log Sale'!$C$9:$C$308,Settings!$C$14&amp;TEXT(1000+ROW()-7,"0000"))=0,"",Settings!$C$14&amp;TEXT(1000+ROW()-7,"0000"))</f>
        <v/>
      </c>
      <c r="B104" s="53">
        <f>IF($A104="","",_xlfn.MAXIFS('Log Sale'!$B$9:$B$308,'Log Sale'!$C$9:$C$308,$A104))</f>
        <v/>
      </c>
      <c r="C104" s="39" t="n"/>
      <c r="D104" s="42" t="n"/>
      <c r="E104" s="39" t="n"/>
      <c r="F104" s="32">
        <f>IF($A104="","",COUNTIF('Log Sale'!$C$9:$C$308,$A104))</f>
        <v/>
      </c>
      <c r="G104" s="54">
        <f>IF($A104="","",SUMIF('Log Sale'!$C$9:$C$308,$A104,'Log Sale'!$K$9:$K$308))</f>
        <v/>
      </c>
      <c r="H104" s="55">
        <f>IF($A104="","",SUMIF('Log Sale'!$C$9:$C$308,$A104,'Log Sale'!$H$9:$H$308))</f>
        <v/>
      </c>
      <c r="I104" s="36">
        <f>IF($A104="","",$H104*Settings!$C$12)</f>
        <v/>
      </c>
      <c r="J104" s="56">
        <f>IF($A104="","",$H104+$I104)</f>
        <v/>
      </c>
      <c r="K104" s="57">
        <f>IF($A104="","",$A104)</f>
        <v/>
      </c>
    </row>
    <row r="105" ht="32" customHeight="1">
      <c r="A105" s="48">
        <f>IF(COUNTIF('Log Sale'!$C$9:$C$308,Settings!$C$14&amp;TEXT(1000+ROW()-7,"0000"))=0,"",Settings!$C$14&amp;TEXT(1000+ROW()-7,"0000"))</f>
        <v/>
      </c>
      <c r="B105" s="53">
        <f>IF($A105="","",_xlfn.MAXIFS('Log Sale'!$B$9:$B$308,'Log Sale'!$C$9:$C$308,$A105))</f>
        <v/>
      </c>
      <c r="C105" s="39" t="n"/>
      <c r="D105" s="42" t="n"/>
      <c r="E105" s="39" t="n"/>
      <c r="F105" s="32">
        <f>IF($A105="","",COUNTIF('Log Sale'!$C$9:$C$308,$A105))</f>
        <v/>
      </c>
      <c r="G105" s="54">
        <f>IF($A105="","",SUMIF('Log Sale'!$C$9:$C$308,$A105,'Log Sale'!$K$9:$K$308))</f>
        <v/>
      </c>
      <c r="H105" s="55">
        <f>IF($A105="","",SUMIF('Log Sale'!$C$9:$C$308,$A105,'Log Sale'!$H$9:$H$308))</f>
        <v/>
      </c>
      <c r="I105" s="36">
        <f>IF($A105="","",$H105*Settings!$C$12)</f>
        <v/>
      </c>
      <c r="J105" s="56">
        <f>IF($A105="","",$H105+$I105)</f>
        <v/>
      </c>
      <c r="K105" s="57">
        <f>IF($A105="","",$A105)</f>
        <v/>
      </c>
    </row>
    <row r="106" ht="32" customHeight="1">
      <c r="A106" s="48">
        <f>IF(COUNTIF('Log Sale'!$C$9:$C$308,Settings!$C$14&amp;TEXT(1000+ROW()-7,"0000"))=0,"",Settings!$C$14&amp;TEXT(1000+ROW()-7,"0000"))</f>
        <v/>
      </c>
      <c r="B106" s="53">
        <f>IF($A106="","",_xlfn.MAXIFS('Log Sale'!$B$9:$B$308,'Log Sale'!$C$9:$C$308,$A106))</f>
        <v/>
      </c>
      <c r="C106" s="39" t="n"/>
      <c r="D106" s="42" t="n"/>
      <c r="E106" s="39" t="n"/>
      <c r="F106" s="32">
        <f>IF($A106="","",COUNTIF('Log Sale'!$C$9:$C$308,$A106))</f>
        <v/>
      </c>
      <c r="G106" s="54">
        <f>IF($A106="","",SUMIF('Log Sale'!$C$9:$C$308,$A106,'Log Sale'!$K$9:$K$308))</f>
        <v/>
      </c>
      <c r="H106" s="55">
        <f>IF($A106="","",SUMIF('Log Sale'!$C$9:$C$308,$A106,'Log Sale'!$H$9:$H$308))</f>
        <v/>
      </c>
      <c r="I106" s="36">
        <f>IF($A106="","",$H106*Settings!$C$12)</f>
        <v/>
      </c>
      <c r="J106" s="56">
        <f>IF($A106="","",$H106+$I106)</f>
        <v/>
      </c>
      <c r="K106" s="57">
        <f>IF($A106="","",$A106)</f>
        <v/>
      </c>
    </row>
    <row r="107" ht="32" customHeight="1">
      <c r="A107" s="48">
        <f>IF(COUNTIF('Log Sale'!$C$9:$C$308,Settings!$C$14&amp;TEXT(1000+ROW()-7,"0000"))=0,"",Settings!$C$14&amp;TEXT(1000+ROW()-7,"0000"))</f>
        <v/>
      </c>
      <c r="B107" s="53">
        <f>IF($A107="","",_xlfn.MAXIFS('Log Sale'!$B$9:$B$308,'Log Sale'!$C$9:$C$308,$A107))</f>
        <v/>
      </c>
      <c r="C107" s="39" t="n"/>
      <c r="D107" s="42" t="n"/>
      <c r="E107" s="39" t="n"/>
      <c r="F107" s="32">
        <f>IF($A107="","",COUNTIF('Log Sale'!$C$9:$C$308,$A107))</f>
        <v/>
      </c>
      <c r="G107" s="54">
        <f>IF($A107="","",SUMIF('Log Sale'!$C$9:$C$308,$A107,'Log Sale'!$K$9:$K$308))</f>
        <v/>
      </c>
      <c r="H107" s="55">
        <f>IF($A107="","",SUMIF('Log Sale'!$C$9:$C$308,$A107,'Log Sale'!$H$9:$H$308))</f>
        <v/>
      </c>
      <c r="I107" s="36">
        <f>IF($A107="","",$H107*Settings!$C$12)</f>
        <v/>
      </c>
      <c r="J107" s="56">
        <f>IF($A107="","",$H107+$I107)</f>
        <v/>
      </c>
      <c r="K107" s="57">
        <f>IF($A107="","",$A107)</f>
        <v/>
      </c>
    </row>
    <row r="10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</row>
    <row r="10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</row>
    <row r="110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</row>
    <row r="11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</row>
    <row r="112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</row>
    <row r="113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</row>
    <row r="114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</row>
    <row r="115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</row>
    <row r="116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</row>
    <row r="117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</row>
    <row r="11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</row>
    <row r="11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</row>
    <row r="120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</row>
    <row r="12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</row>
    <row r="122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</row>
    <row r="123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</row>
    <row r="124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</row>
    <row r="125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</row>
    <row r="126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</row>
    <row r="127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</row>
    <row r="1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</row>
    <row r="12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</row>
    <row r="130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</row>
    <row r="1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</row>
    <row r="132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</row>
    <row r="133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</row>
    <row r="134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</row>
    <row r="135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</row>
    <row r="136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</row>
    <row r="137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</row>
    <row r="13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</row>
    <row r="13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</row>
    <row r="140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</row>
    <row r="14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</row>
    <row r="142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</row>
    <row r="143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</row>
    <row r="144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</row>
    <row r="145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</row>
    <row r="146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</row>
    <row r="147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</row>
    <row r="14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</row>
    <row r="14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</row>
    <row r="150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</row>
    <row r="15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</row>
    <row r="152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</row>
    <row r="153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</row>
    <row r="154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</row>
    <row r="155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</row>
    <row r="156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</row>
    <row r="157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</row>
    <row r="15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</row>
    <row r="1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</row>
    <row r="160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</row>
    <row r="16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</row>
    <row r="162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</row>
    <row r="163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</row>
    <row r="164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</row>
    <row r="165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</row>
    <row r="166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</row>
    <row r="167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</row>
    <row r="16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</row>
    <row r="16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</row>
    <row r="170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</row>
    <row r="17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</row>
    <row r="172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</row>
    <row r="173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</row>
    <row r="174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</row>
    <row r="175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</row>
    <row r="176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</row>
    <row r="177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</row>
    <row r="17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</row>
    <row r="17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</row>
    <row r="180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</row>
    <row r="18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</row>
    <row r="182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</row>
    <row r="183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</row>
    <row r="184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</row>
    <row r="185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</row>
    <row r="186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</row>
    <row r="187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</row>
    <row r="18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</row>
    <row r="18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</row>
    <row r="190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</row>
    <row r="19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</row>
    <row r="192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</row>
    <row r="193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</row>
    <row r="194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</row>
    <row r="195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</row>
    <row r="196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</row>
    <row r="197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</row>
    <row r="19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</row>
    <row r="19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</row>
    <row r="200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</row>
    <row r="20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</row>
    <row r="202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</row>
    <row r="203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</row>
    <row r="204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</row>
    <row r="205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</row>
    <row r="206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</row>
    <row r="207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</row>
    <row r="20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</row>
    <row r="20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</row>
    <row r="210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</row>
    <row r="21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</row>
    <row r="212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</row>
    <row r="213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</row>
    <row r="214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</row>
    <row r="215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</row>
    <row r="216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</row>
    <row r="21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</row>
    <row r="21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</row>
    <row r="21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</row>
    <row r="220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</row>
    <row r="22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</row>
    <row r="222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</row>
    <row r="223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</row>
    <row r="224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</row>
    <row r="225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</row>
    <row r="226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</row>
    <row r="227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</row>
    <row r="2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</row>
    <row r="22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</row>
    <row r="230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</row>
    <row r="2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</row>
    <row r="232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</row>
    <row r="233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</row>
    <row r="234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</row>
    <row r="235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</row>
    <row r="236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</row>
    <row r="237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</row>
    <row r="23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</row>
    <row r="23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</row>
    <row r="240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</row>
    <row r="2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</row>
    <row r="242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</row>
    <row r="243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</row>
    <row r="244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</row>
    <row r="245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</row>
    <row r="246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</row>
    <row r="247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</row>
    <row r="24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</row>
    <row r="24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</row>
    <row r="250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</row>
    <row r="25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</row>
    <row r="252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</row>
    <row r="253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</row>
    <row r="254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</row>
    <row r="255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</row>
    <row r="256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</row>
    <row r="257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</row>
    <row r="25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</row>
    <row r="2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</row>
    <row r="260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</row>
    <row r="26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</row>
    <row r="262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</row>
    <row r="263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</row>
    <row r="264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</row>
    <row r="265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</row>
    <row r="266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</row>
    <row r="267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</row>
    <row r="26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</row>
    <row r="26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</row>
    <row r="270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</row>
    <row r="2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</row>
    <row r="272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</row>
    <row r="273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</row>
    <row r="274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</row>
    <row r="275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</row>
    <row r="276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</row>
    <row r="277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</row>
    <row r="27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</row>
    <row r="27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</row>
    <row r="280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</row>
    <row r="28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</row>
    <row r="282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</row>
    <row r="283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</row>
    <row r="284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</row>
    <row r="285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</row>
    <row r="286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</row>
    <row r="287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</row>
    <row r="28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</row>
    <row r="28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</row>
    <row r="290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</row>
    <row r="29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</row>
    <row r="292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</row>
    <row r="293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</row>
    <row r="294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</row>
    <row r="295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</row>
    <row r="296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</row>
    <row r="297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</row>
    <row r="29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</row>
    <row r="29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</row>
    <row r="300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</row>
    <row r="30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</row>
    <row r="302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</row>
    <row r="303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</row>
    <row r="304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</row>
    <row r="305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</row>
    <row r="306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</row>
    <row r="307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</row>
    <row r="30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</row>
    <row r="30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</row>
    <row r="310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</row>
    <row r="31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</row>
    <row r="312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</row>
    <row r="313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</row>
    <row r="314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</row>
    <row r="315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</row>
    <row r="316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</row>
    <row r="317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</row>
    <row r="31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</row>
    <row r="31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</row>
    <row r="320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</row>
    <row r="32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</row>
    <row r="322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</row>
    <row r="323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</row>
    <row r="324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</row>
    <row r="325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</row>
    <row r="326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</row>
    <row r="327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</row>
    <row r="3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</row>
    <row r="32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</row>
    <row r="330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</row>
    <row r="3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</row>
    <row r="332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</row>
    <row r="333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</row>
    <row r="334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</row>
    <row r="335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</row>
    <row r="336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</row>
    <row r="337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</row>
    <row r="33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</row>
    <row r="33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</row>
  </sheetData>
  <mergeCells count="6">
    <mergeCell ref="A5:J5"/>
    <mergeCell ref="A6:J6"/>
    <mergeCell ref="H1:I1"/>
    <mergeCell ref="A4:J4"/>
    <mergeCell ref="B1:C1"/>
    <mergeCell ref="F1:G1"/>
  </mergeCells>
  <conditionalFormatting sqref="A8:J107">
    <cfRule type="expression" priority="1" dxfId="8" stopIfTrue="0">
      <formula>AND($A8&lt;&gt;"",$B8=TODAY())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I339"/>
  <sheetViews>
    <sheetView showGridLines="0" showRowColHeaders="0" tabSelected="0"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28" customWidth="1" min="2" max="2"/>
    <col width="10" customWidth="1" min="3" max="3"/>
    <col width="15" customWidth="1" min="4" max="4"/>
    <col width="15" customWidth="1" min="5" max="5"/>
    <col width="14" customWidth="1" min="6" max="6"/>
    <col width="14" customWidth="1" min="7" max="7"/>
    <col hidden="1" width="40" customWidth="1" min="8" max="8"/>
    <col hidden="1" width="60" customWidth="1" min="9" max="9"/>
  </cols>
  <sheetData>
    <row r="1" ht="40" customHeight="1">
      <c r="A1" s="1">
        <f>HYPERLINK("#'Dashboard'!A1","🏠 Home")</f>
        <v/>
      </c>
      <c r="B1" s="1">
        <f>HYPERLINK("#'Item Master'!A1","📦 Items")</f>
        <v/>
      </c>
      <c r="C1" s="1">
        <f>HYPERLINK("#'Log Sale'!A1","🛒 New Sale")</f>
        <v/>
      </c>
      <c r="E1" s="1">
        <f>HYPERLINK("#'Stock In'!A1","📥 Stock In")</f>
        <v/>
      </c>
      <c r="F1" s="1">
        <f>HYPERLINK("#'Invoice Generator'!A1","🧾 Invoice")</f>
        <v/>
      </c>
      <c r="G1" s="1">
        <f>HYPERLINK("#'Sales Log'!A1","📊 Logs")</f>
        <v/>
      </c>
      <c r="H1" s="15" t="n"/>
      <c r="I1" s="15" t="n"/>
    </row>
    <row r="2" ht="6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30" customHeight="1">
      <c r="A4" s="58">
        <f>Settings!$C$8</f>
        <v/>
      </c>
      <c r="D4" s="59" t="inlineStr">
        <is>
          <t>🧾 INVOICE</t>
        </is>
      </c>
      <c r="F4" s="3" t="n"/>
      <c r="G4" s="3" t="n"/>
      <c r="H4" s="3" t="n"/>
      <c r="I4" s="3" t="n"/>
    </row>
    <row r="5" ht="24" customHeight="1">
      <c r="A5" s="60">
        <f>Settings!$C$9&amp;"  ·  "&amp;Settings!$C$10</f>
        <v/>
      </c>
      <c r="F5" s="3" t="n"/>
      <c r="G5" s="3" t="n"/>
      <c r="H5" s="3" t="n"/>
      <c r="I5" s="3" t="n"/>
    </row>
    <row r="6" ht="34" customHeight="1">
      <c r="A6" s="61" t="inlineStr">
        <is>
          <t>🔎 SHOW INVOICE</t>
        </is>
      </c>
      <c r="B6" s="62" t="inlineStr">
        <is>
          <t>LATEST</t>
        </is>
      </c>
      <c r="D6" s="63" t="inlineStr">
        <is>
          <t>Leave on LATEST and this screen always shows the sale you just made.</t>
        </is>
      </c>
      <c r="F6" s="3" t="n"/>
      <c r="G6" s="3" t="n"/>
      <c r="H6" s="3" t="n"/>
      <c r="I6" s="3" t="n"/>
    </row>
    <row r="7" ht="38" customHeight="1">
      <c r="A7" s="61" t="inlineStr">
        <is>
          <t>🧾 INVOICE NO</t>
        </is>
      </c>
      <c r="B7" s="64">
        <f>IF($B$6="LATEST",IFERROR(INDEX('Sales Log'!$A$8:$A$107,MAX(1,COUNTIF('Sales Log'!$A$8:$A$107,"?*"))),""),$B$6)</f>
        <v/>
      </c>
      <c r="D7" s="65" t="inlineStr">
        <is>
          <t>📅 Date</t>
        </is>
      </c>
      <c r="E7" s="66">
        <f>IFERROR(_xlfn.XLOOKUP($B$7,'Sales Log'!$A$8:$A$107,'Sales Log'!$B$8:$B$107,TODAY()),TODAY())</f>
        <v/>
      </c>
      <c r="F7" s="3" t="n"/>
      <c r="G7" s="3" t="n"/>
      <c r="H7" s="3" t="n"/>
      <c r="I7" s="67">
        <f>"*"&amp;Settings!$C$8&amp;"*%0AInvoice: "&amp;$B$7&amp;"%0ADate: "&amp;TEXT($E$7,"dd-mmm-yyyy")&amp;"%0A- - - - - - - - - -%0A"&amp;$H$12&amp;$H$13&amp;$H$14&amp;$H$15&amp;$H$16&amp;$H$17&amp;$H$18&amp;$H$19&amp;$H$20&amp;$H$21&amp;$H$22&amp;$H$23&amp;$H$24&amp;$H$25&amp;$H$26&amp;"- - - - - - - - - -%0ASubtotal: "&amp;TEXT($E$28,"0.00")&amp;"%0ATax: "&amp;TEXT($E$30,"0.00")&amp;"%0A*TOTAL: "&amp;TEXT($E$32,"0.00")&amp;"*%0A%0A"&amp;Settings!$C$16&amp;"%0AThank you!"</f>
        <v/>
      </c>
    </row>
    <row r="8" ht="32" customHeight="1">
      <c r="A8" s="61" t="inlineStr">
        <is>
          <t>👤 BILL TO</t>
        </is>
      </c>
      <c r="B8" s="68">
        <f>IFERROR(_xlfn.XLOOKUP($B$7,'Sales Log'!$A$8:$A$107,'Sales Log'!$C$8:$C$107,""),"")</f>
        <v/>
      </c>
      <c r="D8" s="65" t="inlineStr">
        <is>
          <t>Due</t>
        </is>
      </c>
      <c r="E8" s="66">
        <f>IF($E$7="","",$E$7+Settings!$C$15)</f>
        <v/>
      </c>
      <c r="F8" s="3" t="n"/>
      <c r="G8" s="3" t="n"/>
      <c r="H8" s="3" t="n"/>
      <c r="I8" s="67">
        <f>SUBSTITUTE(SUBSTITUTE($I$7,"%0A","%0D%0A"),"*","")</f>
        <v/>
      </c>
    </row>
    <row r="9" ht="30" customHeight="1">
      <c r="A9" s="61" t="inlineStr">
        <is>
          <t>📞 / ✉️</t>
        </is>
      </c>
      <c r="B9" s="69">
        <f>IFERROR(_xlfn.XLOOKUP($B$7,'Sales Log'!$A$8:$A$107,'Sales Log'!$D$8:$D$107,""),"")</f>
        <v/>
      </c>
      <c r="D9" s="70">
        <f>IFERROR(_xlfn.XLOOKUP($B$7,'Sales Log'!$A$8:$A$107,'Sales Log'!$E$8:$E$107,""),"")</f>
        <v/>
      </c>
      <c r="F9" s="3" t="n"/>
      <c r="G9" s="3" t="n"/>
      <c r="H9" s="3" t="n"/>
      <c r="I9" s="3" t="n"/>
    </row>
    <row r="10" ht="12" customHeight="1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</row>
    <row r="11" ht="34" customHeight="1">
      <c r="A11" s="61" t="inlineStr">
        <is>
          <t>SKU</t>
        </is>
      </c>
      <c r="B11" s="61" t="inlineStr">
        <is>
          <t>📦 Description</t>
        </is>
      </c>
      <c r="C11" s="61" t="inlineStr">
        <is>
          <t>Qty</t>
        </is>
      </c>
      <c r="D11" s="61" t="inlineStr">
        <is>
          <t>Unit Price</t>
        </is>
      </c>
      <c r="E11" s="61" t="inlineStr">
        <is>
          <t>Line Total</t>
        </is>
      </c>
      <c r="F11" s="3" t="n"/>
      <c r="G11" s="3" t="n"/>
      <c r="H11" s="3" t="n"/>
      <c r="I11" s="3" t="n"/>
    </row>
    <row r="12" ht="30" customHeight="1">
      <c r="A12" s="71">
        <f>IFERROR(INDEX('Log Sale'!$I$9:$I$308,MATCH($B$7&amp;"|"&amp;1,'Log Sale'!$J$9:$J$308,0)),"")</f>
        <v/>
      </c>
      <c r="B12" s="31">
        <f>IF($A12="","",_xlfn.XLOOKUP($A12,'Item Master'!$A$4:$A$53,'Item Master'!$C$4:$C$53,""))</f>
        <v/>
      </c>
      <c r="C12" s="72">
        <f>IFERROR(INDEX('Log Sale'!$K$9:$K$308,MATCH($B$7&amp;"|"&amp;1,'Log Sale'!$J$9:$J$308,0)),"")</f>
        <v/>
      </c>
      <c r="D12" s="55">
        <f>IF($A12="","",_xlfn.XLOOKUP($A12,'Item Master'!$A$4:$A$53,'Item Master'!$F$4:$F$53,0))</f>
        <v/>
      </c>
      <c r="E12" s="73">
        <f>IF($A12="","",$C12*$D12)</f>
        <v/>
      </c>
      <c r="F12" s="3" t="n"/>
      <c r="G12" s="3" t="n"/>
      <c r="H12" s="67">
        <f>IF($A12="","",$B12&amp;"  x"&amp;TEXT($C12,"0")&amp;"  "&amp;TEXT($E12,"0.00")&amp;"%0A")</f>
        <v/>
      </c>
      <c r="I12" s="3" t="n"/>
    </row>
    <row r="13" ht="30" customHeight="1">
      <c r="A13" s="71">
        <f>IFERROR(INDEX('Log Sale'!$I$9:$I$308,MATCH($B$7&amp;"|"&amp;2,'Log Sale'!$J$9:$J$308,0)),"")</f>
        <v/>
      </c>
      <c r="B13" s="31">
        <f>IF($A13="","",_xlfn.XLOOKUP($A13,'Item Master'!$A$4:$A$53,'Item Master'!$C$4:$C$53,""))</f>
        <v/>
      </c>
      <c r="C13" s="72">
        <f>IFERROR(INDEX('Log Sale'!$K$9:$K$308,MATCH($B$7&amp;"|"&amp;2,'Log Sale'!$J$9:$J$308,0)),"")</f>
        <v/>
      </c>
      <c r="D13" s="55">
        <f>IF($A13="","",_xlfn.XLOOKUP($A13,'Item Master'!$A$4:$A$53,'Item Master'!$F$4:$F$53,0))</f>
        <v/>
      </c>
      <c r="E13" s="73">
        <f>IF($A13="","",$C13*$D13)</f>
        <v/>
      </c>
      <c r="F13" s="3" t="n"/>
      <c r="G13" s="3" t="n"/>
      <c r="H13" s="67">
        <f>IF($A13="","",$B13&amp;"  x"&amp;TEXT($C13,"0")&amp;"  "&amp;TEXT($E13,"0.00")&amp;"%0A")</f>
        <v/>
      </c>
      <c r="I13" s="3" t="n"/>
    </row>
    <row r="14" ht="30" customHeight="1">
      <c r="A14" s="71">
        <f>IFERROR(INDEX('Log Sale'!$I$9:$I$308,MATCH($B$7&amp;"|"&amp;3,'Log Sale'!$J$9:$J$308,0)),"")</f>
        <v/>
      </c>
      <c r="B14" s="31">
        <f>IF($A14="","",_xlfn.XLOOKUP($A14,'Item Master'!$A$4:$A$53,'Item Master'!$C$4:$C$53,""))</f>
        <v/>
      </c>
      <c r="C14" s="72">
        <f>IFERROR(INDEX('Log Sale'!$K$9:$K$308,MATCH($B$7&amp;"|"&amp;3,'Log Sale'!$J$9:$J$308,0)),"")</f>
        <v/>
      </c>
      <c r="D14" s="55">
        <f>IF($A14="","",_xlfn.XLOOKUP($A14,'Item Master'!$A$4:$A$53,'Item Master'!$F$4:$F$53,0))</f>
        <v/>
      </c>
      <c r="E14" s="73">
        <f>IF($A14="","",$C14*$D14)</f>
        <v/>
      </c>
      <c r="F14" s="3" t="n"/>
      <c r="G14" s="3" t="n"/>
      <c r="H14" s="67">
        <f>IF($A14="","",$B14&amp;"  x"&amp;TEXT($C14,"0")&amp;"  "&amp;TEXT($E14,"0.00")&amp;"%0A")</f>
        <v/>
      </c>
      <c r="I14" s="3" t="n"/>
    </row>
    <row r="15" ht="30" customHeight="1">
      <c r="A15" s="71">
        <f>IFERROR(INDEX('Log Sale'!$I$9:$I$308,MATCH($B$7&amp;"|"&amp;4,'Log Sale'!$J$9:$J$308,0)),"")</f>
        <v/>
      </c>
      <c r="B15" s="31">
        <f>IF($A15="","",_xlfn.XLOOKUP($A15,'Item Master'!$A$4:$A$53,'Item Master'!$C$4:$C$53,""))</f>
        <v/>
      </c>
      <c r="C15" s="72">
        <f>IFERROR(INDEX('Log Sale'!$K$9:$K$308,MATCH($B$7&amp;"|"&amp;4,'Log Sale'!$J$9:$J$308,0)),"")</f>
        <v/>
      </c>
      <c r="D15" s="55">
        <f>IF($A15="","",_xlfn.XLOOKUP($A15,'Item Master'!$A$4:$A$53,'Item Master'!$F$4:$F$53,0))</f>
        <v/>
      </c>
      <c r="E15" s="73">
        <f>IF($A15="","",$C15*$D15)</f>
        <v/>
      </c>
      <c r="F15" s="3" t="n"/>
      <c r="G15" s="3" t="n"/>
      <c r="H15" s="67">
        <f>IF($A15="","",$B15&amp;"  x"&amp;TEXT($C15,"0")&amp;"  "&amp;TEXT($E15,"0.00")&amp;"%0A")</f>
        <v/>
      </c>
      <c r="I15" s="3" t="n"/>
    </row>
    <row r="16" ht="30" customHeight="1">
      <c r="A16" s="71">
        <f>IFERROR(INDEX('Log Sale'!$I$9:$I$308,MATCH($B$7&amp;"|"&amp;5,'Log Sale'!$J$9:$J$308,0)),"")</f>
        <v/>
      </c>
      <c r="B16" s="31">
        <f>IF($A16="","",_xlfn.XLOOKUP($A16,'Item Master'!$A$4:$A$53,'Item Master'!$C$4:$C$53,""))</f>
        <v/>
      </c>
      <c r="C16" s="72">
        <f>IFERROR(INDEX('Log Sale'!$K$9:$K$308,MATCH($B$7&amp;"|"&amp;5,'Log Sale'!$J$9:$J$308,0)),"")</f>
        <v/>
      </c>
      <c r="D16" s="55">
        <f>IF($A16="","",_xlfn.XLOOKUP($A16,'Item Master'!$A$4:$A$53,'Item Master'!$F$4:$F$53,0))</f>
        <v/>
      </c>
      <c r="E16" s="73">
        <f>IF($A16="","",$C16*$D16)</f>
        <v/>
      </c>
      <c r="F16" s="3" t="n"/>
      <c r="G16" s="3" t="n"/>
      <c r="H16" s="67">
        <f>IF($A16="","",$B16&amp;"  x"&amp;TEXT($C16,"0")&amp;"  "&amp;TEXT($E16,"0.00")&amp;"%0A")</f>
        <v/>
      </c>
      <c r="I16" s="3" t="n"/>
    </row>
    <row r="17" ht="30" customHeight="1">
      <c r="A17" s="71">
        <f>IFERROR(INDEX('Log Sale'!$I$9:$I$308,MATCH($B$7&amp;"|"&amp;6,'Log Sale'!$J$9:$J$308,0)),"")</f>
        <v/>
      </c>
      <c r="B17" s="31">
        <f>IF($A17="","",_xlfn.XLOOKUP($A17,'Item Master'!$A$4:$A$53,'Item Master'!$C$4:$C$53,""))</f>
        <v/>
      </c>
      <c r="C17" s="72">
        <f>IFERROR(INDEX('Log Sale'!$K$9:$K$308,MATCH($B$7&amp;"|"&amp;6,'Log Sale'!$J$9:$J$308,0)),"")</f>
        <v/>
      </c>
      <c r="D17" s="55">
        <f>IF($A17="","",_xlfn.XLOOKUP($A17,'Item Master'!$A$4:$A$53,'Item Master'!$F$4:$F$53,0))</f>
        <v/>
      </c>
      <c r="E17" s="73">
        <f>IF($A17="","",$C17*$D17)</f>
        <v/>
      </c>
      <c r="F17" s="3" t="n"/>
      <c r="G17" s="3" t="n"/>
      <c r="H17" s="67">
        <f>IF($A17="","",$B17&amp;"  x"&amp;TEXT($C17,"0")&amp;"  "&amp;TEXT($E17,"0.00")&amp;"%0A")</f>
        <v/>
      </c>
      <c r="I17" s="3" t="n"/>
    </row>
    <row r="18" ht="30" customHeight="1">
      <c r="A18" s="71">
        <f>IFERROR(INDEX('Log Sale'!$I$9:$I$308,MATCH($B$7&amp;"|"&amp;7,'Log Sale'!$J$9:$J$308,0)),"")</f>
        <v/>
      </c>
      <c r="B18" s="31">
        <f>IF($A18="","",_xlfn.XLOOKUP($A18,'Item Master'!$A$4:$A$53,'Item Master'!$C$4:$C$53,""))</f>
        <v/>
      </c>
      <c r="C18" s="72">
        <f>IFERROR(INDEX('Log Sale'!$K$9:$K$308,MATCH($B$7&amp;"|"&amp;7,'Log Sale'!$J$9:$J$308,0)),"")</f>
        <v/>
      </c>
      <c r="D18" s="55">
        <f>IF($A18="","",_xlfn.XLOOKUP($A18,'Item Master'!$A$4:$A$53,'Item Master'!$F$4:$F$53,0))</f>
        <v/>
      </c>
      <c r="E18" s="73">
        <f>IF($A18="","",$C18*$D18)</f>
        <v/>
      </c>
      <c r="F18" s="3" t="n"/>
      <c r="G18" s="3" t="n"/>
      <c r="H18" s="67">
        <f>IF($A18="","",$B18&amp;"  x"&amp;TEXT($C18,"0")&amp;"  "&amp;TEXT($E18,"0.00")&amp;"%0A")</f>
        <v/>
      </c>
      <c r="I18" s="3" t="n"/>
    </row>
    <row r="19" ht="30" customHeight="1">
      <c r="A19" s="71">
        <f>IFERROR(INDEX('Log Sale'!$I$9:$I$308,MATCH($B$7&amp;"|"&amp;8,'Log Sale'!$J$9:$J$308,0)),"")</f>
        <v/>
      </c>
      <c r="B19" s="31">
        <f>IF($A19="","",_xlfn.XLOOKUP($A19,'Item Master'!$A$4:$A$53,'Item Master'!$C$4:$C$53,""))</f>
        <v/>
      </c>
      <c r="C19" s="72">
        <f>IFERROR(INDEX('Log Sale'!$K$9:$K$308,MATCH($B$7&amp;"|"&amp;8,'Log Sale'!$J$9:$J$308,0)),"")</f>
        <v/>
      </c>
      <c r="D19" s="55">
        <f>IF($A19="","",_xlfn.XLOOKUP($A19,'Item Master'!$A$4:$A$53,'Item Master'!$F$4:$F$53,0))</f>
        <v/>
      </c>
      <c r="E19" s="73">
        <f>IF($A19="","",$C19*$D19)</f>
        <v/>
      </c>
      <c r="F19" s="3" t="n"/>
      <c r="G19" s="3" t="n"/>
      <c r="H19" s="67">
        <f>IF($A19="","",$B19&amp;"  x"&amp;TEXT($C19,"0")&amp;"  "&amp;TEXT($E19,"0.00")&amp;"%0A")</f>
        <v/>
      </c>
      <c r="I19" s="3" t="n"/>
    </row>
    <row r="20" ht="30" customHeight="1">
      <c r="A20" s="71">
        <f>IFERROR(INDEX('Log Sale'!$I$9:$I$308,MATCH($B$7&amp;"|"&amp;9,'Log Sale'!$J$9:$J$308,0)),"")</f>
        <v/>
      </c>
      <c r="B20" s="31">
        <f>IF($A20="","",_xlfn.XLOOKUP($A20,'Item Master'!$A$4:$A$53,'Item Master'!$C$4:$C$53,""))</f>
        <v/>
      </c>
      <c r="C20" s="72">
        <f>IFERROR(INDEX('Log Sale'!$K$9:$K$308,MATCH($B$7&amp;"|"&amp;9,'Log Sale'!$J$9:$J$308,0)),"")</f>
        <v/>
      </c>
      <c r="D20" s="55">
        <f>IF($A20="","",_xlfn.XLOOKUP($A20,'Item Master'!$A$4:$A$53,'Item Master'!$F$4:$F$53,0))</f>
        <v/>
      </c>
      <c r="E20" s="73">
        <f>IF($A20="","",$C20*$D20)</f>
        <v/>
      </c>
      <c r="F20" s="3" t="n"/>
      <c r="G20" s="3" t="n"/>
      <c r="H20" s="67">
        <f>IF($A20="","",$B20&amp;"  x"&amp;TEXT($C20,"0")&amp;"  "&amp;TEXT($E20,"0.00")&amp;"%0A")</f>
        <v/>
      </c>
      <c r="I20" s="3" t="n"/>
    </row>
    <row r="21" ht="30" customHeight="1">
      <c r="A21" s="71">
        <f>IFERROR(INDEX('Log Sale'!$I$9:$I$308,MATCH($B$7&amp;"|"&amp;10,'Log Sale'!$J$9:$J$308,0)),"")</f>
        <v/>
      </c>
      <c r="B21" s="31">
        <f>IF($A21="","",_xlfn.XLOOKUP($A21,'Item Master'!$A$4:$A$53,'Item Master'!$C$4:$C$53,""))</f>
        <v/>
      </c>
      <c r="C21" s="72">
        <f>IFERROR(INDEX('Log Sale'!$K$9:$K$308,MATCH($B$7&amp;"|"&amp;10,'Log Sale'!$J$9:$J$308,0)),"")</f>
        <v/>
      </c>
      <c r="D21" s="55">
        <f>IF($A21="","",_xlfn.XLOOKUP($A21,'Item Master'!$A$4:$A$53,'Item Master'!$F$4:$F$53,0))</f>
        <v/>
      </c>
      <c r="E21" s="73">
        <f>IF($A21="","",$C21*$D21)</f>
        <v/>
      </c>
      <c r="F21" s="3" t="n"/>
      <c r="G21" s="3" t="n"/>
      <c r="H21" s="67">
        <f>IF($A21="","",$B21&amp;"  x"&amp;TEXT($C21,"0")&amp;"  "&amp;TEXT($E21,"0.00")&amp;"%0A")</f>
        <v/>
      </c>
      <c r="I21" s="3" t="n"/>
    </row>
    <row r="22" ht="30" customHeight="1">
      <c r="A22" s="71">
        <f>IFERROR(INDEX('Log Sale'!$I$9:$I$308,MATCH($B$7&amp;"|"&amp;11,'Log Sale'!$J$9:$J$308,0)),"")</f>
        <v/>
      </c>
      <c r="B22" s="31">
        <f>IF($A22="","",_xlfn.XLOOKUP($A22,'Item Master'!$A$4:$A$53,'Item Master'!$C$4:$C$53,""))</f>
        <v/>
      </c>
      <c r="C22" s="72">
        <f>IFERROR(INDEX('Log Sale'!$K$9:$K$308,MATCH($B$7&amp;"|"&amp;11,'Log Sale'!$J$9:$J$308,0)),"")</f>
        <v/>
      </c>
      <c r="D22" s="55">
        <f>IF($A22="","",_xlfn.XLOOKUP($A22,'Item Master'!$A$4:$A$53,'Item Master'!$F$4:$F$53,0))</f>
        <v/>
      </c>
      <c r="E22" s="73">
        <f>IF($A22="","",$C22*$D22)</f>
        <v/>
      </c>
      <c r="F22" s="3" t="n"/>
      <c r="G22" s="3" t="n"/>
      <c r="H22" s="67">
        <f>IF($A22="","",$B22&amp;"  x"&amp;TEXT($C22,"0")&amp;"  "&amp;TEXT($E22,"0.00")&amp;"%0A")</f>
        <v/>
      </c>
      <c r="I22" s="3" t="n"/>
    </row>
    <row r="23" ht="30" customHeight="1">
      <c r="A23" s="71">
        <f>IFERROR(INDEX('Log Sale'!$I$9:$I$308,MATCH($B$7&amp;"|"&amp;12,'Log Sale'!$J$9:$J$308,0)),"")</f>
        <v/>
      </c>
      <c r="B23" s="31">
        <f>IF($A23="","",_xlfn.XLOOKUP($A23,'Item Master'!$A$4:$A$53,'Item Master'!$C$4:$C$53,""))</f>
        <v/>
      </c>
      <c r="C23" s="72">
        <f>IFERROR(INDEX('Log Sale'!$K$9:$K$308,MATCH($B$7&amp;"|"&amp;12,'Log Sale'!$J$9:$J$308,0)),"")</f>
        <v/>
      </c>
      <c r="D23" s="55">
        <f>IF($A23="","",_xlfn.XLOOKUP($A23,'Item Master'!$A$4:$A$53,'Item Master'!$F$4:$F$53,0))</f>
        <v/>
      </c>
      <c r="E23" s="73">
        <f>IF($A23="","",$C23*$D23)</f>
        <v/>
      </c>
      <c r="F23" s="3" t="n"/>
      <c r="G23" s="3" t="n"/>
      <c r="H23" s="67">
        <f>IF($A23="","",$B23&amp;"  x"&amp;TEXT($C23,"0")&amp;"  "&amp;TEXT($E23,"0.00")&amp;"%0A")</f>
        <v/>
      </c>
      <c r="I23" s="3" t="n"/>
    </row>
    <row r="24" ht="30" customHeight="1">
      <c r="A24" s="71">
        <f>IFERROR(INDEX('Log Sale'!$I$9:$I$308,MATCH($B$7&amp;"|"&amp;13,'Log Sale'!$J$9:$J$308,0)),"")</f>
        <v/>
      </c>
      <c r="B24" s="31">
        <f>IF($A24="","",_xlfn.XLOOKUP($A24,'Item Master'!$A$4:$A$53,'Item Master'!$C$4:$C$53,""))</f>
        <v/>
      </c>
      <c r="C24" s="72">
        <f>IFERROR(INDEX('Log Sale'!$K$9:$K$308,MATCH($B$7&amp;"|"&amp;13,'Log Sale'!$J$9:$J$308,0)),"")</f>
        <v/>
      </c>
      <c r="D24" s="55">
        <f>IF($A24="","",_xlfn.XLOOKUP($A24,'Item Master'!$A$4:$A$53,'Item Master'!$F$4:$F$53,0))</f>
        <v/>
      </c>
      <c r="E24" s="73">
        <f>IF($A24="","",$C24*$D24)</f>
        <v/>
      </c>
      <c r="F24" s="3" t="n"/>
      <c r="G24" s="3" t="n"/>
      <c r="H24" s="67">
        <f>IF($A24="","",$B24&amp;"  x"&amp;TEXT($C24,"0")&amp;"  "&amp;TEXT($E24,"0.00")&amp;"%0A")</f>
        <v/>
      </c>
      <c r="I24" s="3" t="n"/>
    </row>
    <row r="25" ht="30" customHeight="1">
      <c r="A25" s="71">
        <f>IFERROR(INDEX('Log Sale'!$I$9:$I$308,MATCH($B$7&amp;"|"&amp;14,'Log Sale'!$J$9:$J$308,0)),"")</f>
        <v/>
      </c>
      <c r="B25" s="31">
        <f>IF($A25="","",_xlfn.XLOOKUP($A25,'Item Master'!$A$4:$A$53,'Item Master'!$C$4:$C$53,""))</f>
        <v/>
      </c>
      <c r="C25" s="72">
        <f>IFERROR(INDEX('Log Sale'!$K$9:$K$308,MATCH($B$7&amp;"|"&amp;14,'Log Sale'!$J$9:$J$308,0)),"")</f>
        <v/>
      </c>
      <c r="D25" s="55">
        <f>IF($A25="","",_xlfn.XLOOKUP($A25,'Item Master'!$A$4:$A$53,'Item Master'!$F$4:$F$53,0))</f>
        <v/>
      </c>
      <c r="E25" s="73">
        <f>IF($A25="","",$C25*$D25)</f>
        <v/>
      </c>
      <c r="F25" s="3" t="n"/>
      <c r="G25" s="3" t="n"/>
      <c r="H25" s="67">
        <f>IF($A25="","",$B25&amp;"  x"&amp;TEXT($C25,"0")&amp;"  "&amp;TEXT($E25,"0.00")&amp;"%0A")</f>
        <v/>
      </c>
      <c r="I25" s="3" t="n"/>
    </row>
    <row r="26" ht="30" customHeight="1">
      <c r="A26" s="71">
        <f>IFERROR(INDEX('Log Sale'!$I$9:$I$308,MATCH($B$7&amp;"|"&amp;15,'Log Sale'!$J$9:$J$308,0)),"")</f>
        <v/>
      </c>
      <c r="B26" s="31">
        <f>IF($A26="","",_xlfn.XLOOKUP($A26,'Item Master'!$A$4:$A$53,'Item Master'!$C$4:$C$53,""))</f>
        <v/>
      </c>
      <c r="C26" s="72">
        <f>IFERROR(INDEX('Log Sale'!$K$9:$K$308,MATCH($B$7&amp;"|"&amp;15,'Log Sale'!$J$9:$J$308,0)),"")</f>
        <v/>
      </c>
      <c r="D26" s="55">
        <f>IF($A26="","",_xlfn.XLOOKUP($A26,'Item Master'!$A$4:$A$53,'Item Master'!$F$4:$F$53,0))</f>
        <v/>
      </c>
      <c r="E26" s="73">
        <f>IF($A26="","",$C26*$D26)</f>
        <v/>
      </c>
      <c r="F26" s="3" t="n"/>
      <c r="G26" s="3" t="n"/>
      <c r="H26" s="67">
        <f>IF($A26="","",$B26&amp;"  x"&amp;TEXT($C26,"0")&amp;"  "&amp;TEXT($E26,"0.00")&amp;"%0A")</f>
        <v/>
      </c>
      <c r="I26" s="3" t="n"/>
    </row>
    <row r="27" ht="10" customHeight="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</row>
    <row r="28" ht="34" customHeight="1">
      <c r="A28" s="3" t="n"/>
      <c r="B28" s="3" t="n"/>
      <c r="C28" s="65" t="inlineStr">
        <is>
          <t>Subtotal</t>
        </is>
      </c>
      <c r="E28" s="50">
        <f>SUM($E$12:$E$26)</f>
        <v/>
      </c>
      <c r="F28" s="3" t="n"/>
      <c r="G28" s="3" t="n"/>
      <c r="H28" s="3" t="n"/>
      <c r="I28" s="3" t="n"/>
    </row>
    <row r="29" ht="34" customHeight="1">
      <c r="A29" s="3" t="n"/>
      <c r="B29" s="3" t="n"/>
      <c r="C29" s="65" t="inlineStr">
        <is>
          <t>Tax rate</t>
        </is>
      </c>
      <c r="E29" s="74">
        <f>Settings!$C$12</f>
        <v/>
      </c>
      <c r="F29" s="3" t="n"/>
      <c r="G29" s="3" t="n"/>
      <c r="H29" s="3" t="n"/>
      <c r="I29" s="3" t="n"/>
    </row>
    <row r="30" ht="34" customHeight="1">
      <c r="A30" s="3" t="n"/>
      <c r="B30" s="3" t="n"/>
      <c r="C30" s="65" t="inlineStr">
        <is>
          <t>Tax amount</t>
        </is>
      </c>
      <c r="E30" s="50">
        <f>$E$28*$E$29</f>
        <v/>
      </c>
      <c r="F30" s="3" t="n"/>
      <c r="G30" s="3" t="n"/>
      <c r="H30" s="3" t="n"/>
      <c r="I30" s="3" t="n"/>
    </row>
    <row r="31" ht="34" customHeight="1">
      <c r="A31" s="3" t="n"/>
      <c r="B31" s="3" t="n"/>
      <c r="C31" s="65" t="inlineStr">
        <is>
          <t>Discount</t>
        </is>
      </c>
      <c r="E31" s="75" t="n">
        <v>0</v>
      </c>
      <c r="F31" s="3" t="n"/>
      <c r="G31" s="3" t="n"/>
      <c r="H31" s="3" t="n"/>
      <c r="I31" s="3" t="n"/>
    </row>
    <row r="32" ht="42" customHeight="1">
      <c r="A32" s="3" t="n"/>
      <c r="B32" s="3" t="n"/>
      <c r="C32" s="76" t="inlineStr">
        <is>
          <t>GRAND TOTAL</t>
        </is>
      </c>
      <c r="D32" s="77" t="n"/>
      <c r="E32" s="78">
        <f>$E$28+$E$30-$E$31</f>
        <v/>
      </c>
      <c r="F32" s="3" t="n"/>
      <c r="G32" s="3" t="n"/>
      <c r="H32" s="3" t="n"/>
      <c r="I32" s="3" t="n"/>
    </row>
    <row r="33" ht="12" customHeight="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</row>
    <row r="34" ht="46" customHeight="1">
      <c r="A34" s="79" t="inlineStr">
        <is>
          <t>📄  SAVE AS PDF   ›   File ▸ Export ▸ PDF</t>
        </is>
      </c>
      <c r="B34" s="80" t="n"/>
      <c r="C34" s="81">
        <f>IF($B$7="","",HYPERLINK("https://wa.me/"&amp;SUBSTITUTE(SUBSTITUTE(SUBSTITUTE(SUBSTITUTE(SUBSTITUTE(SUBSTITUTE($B$9,"+",""),"-","")," ",""),"(",""),")",""),".","")&amp;"?text="&amp;SUBSTITUTE($I$7," ","%20"),"💬  SEND ON WHATSAPP"))</f>
        <v/>
      </c>
      <c r="D34" s="82" t="n"/>
      <c r="E34" s="83">
        <f>IF($B$7="","",HYPERLINK("mailto:"&amp;$D$9&amp;"?subject="&amp;SUBSTITUTE("Invoice "&amp;$B$7&amp;" from "&amp;Settings!$C$8," ","%20")&amp;"&amp;body="&amp;SUBSTITUTE($I$8," ","%20"),"✉️  EMAIL"))</f>
        <v/>
      </c>
      <c r="F34" s="3" t="n"/>
      <c r="G34" s="3" t="n"/>
      <c r="H34" s="3" t="n"/>
      <c r="I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</row>
    <row r="36" ht="26" customHeight="1">
      <c r="A36" s="84">
        <f>"Payment terms: "&amp;Settings!$C$16</f>
        <v/>
      </c>
      <c r="F36" s="3" t="n"/>
      <c r="G36" s="3" t="n"/>
      <c r="H36" s="3" t="n"/>
      <c r="I36" s="3" t="n"/>
    </row>
    <row r="37" ht="26" customHeight="1">
      <c r="A37" s="60">
        <f>Settings!$C$17</f>
        <v/>
      </c>
      <c r="F37" s="3" t="n"/>
      <c r="G37" s="3" t="n"/>
      <c r="H37" s="3" t="n"/>
      <c r="I37" s="3" t="n"/>
    </row>
    <row r="38" ht="34" customHeight="1">
      <c r="A38" s="85">
        <f>"Thank you for supporting "&amp;Settings!$C$8&amp;" 💛"</f>
        <v/>
      </c>
      <c r="F38" s="3" t="n"/>
      <c r="G38" s="3" t="n"/>
      <c r="H38" s="3" t="n"/>
      <c r="I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</row>
    <row r="50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</row>
    <row r="80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</row>
    <row r="8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</row>
    <row r="82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</row>
    <row r="83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</row>
    <row r="84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</row>
    <row r="85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</row>
    <row r="86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</row>
    <row r="8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</row>
    <row r="8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</row>
    <row r="90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</row>
    <row r="9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</row>
    <row r="92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</row>
    <row r="93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</row>
    <row r="94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</row>
    <row r="95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</row>
    <row r="96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</row>
    <row r="97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</row>
    <row r="9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</row>
    <row r="9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</row>
    <row r="100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</row>
    <row r="10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</row>
    <row r="102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</row>
    <row r="103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</row>
    <row r="104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</row>
    <row r="105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</row>
    <row r="106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</row>
    <row r="107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</row>
    <row r="10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</row>
    <row r="10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</row>
    <row r="110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</row>
    <row r="11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</row>
    <row r="112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</row>
    <row r="113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</row>
    <row r="114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</row>
    <row r="115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</row>
    <row r="116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</row>
    <row r="117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</row>
    <row r="11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</row>
    <row r="11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</row>
    <row r="120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</row>
    <row r="12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</row>
    <row r="122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</row>
    <row r="123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</row>
    <row r="124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</row>
    <row r="125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</row>
    <row r="126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</row>
    <row r="127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</row>
    <row r="1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</row>
    <row r="12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</row>
    <row r="130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</row>
    <row r="1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</row>
    <row r="132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</row>
    <row r="133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</row>
    <row r="134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</row>
    <row r="135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</row>
    <row r="136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</row>
    <row r="137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</row>
    <row r="13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</row>
    <row r="13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</row>
    <row r="140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</row>
    <row r="14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</row>
    <row r="142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</row>
    <row r="143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</row>
    <row r="144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</row>
    <row r="145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</row>
    <row r="146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</row>
    <row r="147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</row>
    <row r="14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</row>
    <row r="14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</row>
    <row r="150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</row>
    <row r="15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</row>
    <row r="152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</row>
    <row r="153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</row>
    <row r="154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</row>
    <row r="155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</row>
    <row r="156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</row>
    <row r="157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</row>
    <row r="15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</row>
    <row r="1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</row>
    <row r="160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</row>
    <row r="16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</row>
    <row r="162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</row>
    <row r="163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</row>
    <row r="164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</row>
    <row r="165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</row>
    <row r="166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</row>
    <row r="167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</row>
    <row r="16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</row>
    <row r="16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</row>
    <row r="170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</row>
    <row r="17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</row>
    <row r="172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</row>
    <row r="173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</row>
    <row r="174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</row>
    <row r="175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</row>
    <row r="176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</row>
    <row r="177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</row>
    <row r="17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</row>
    <row r="17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</row>
    <row r="180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</row>
    <row r="18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</row>
    <row r="182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</row>
    <row r="183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</row>
    <row r="184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</row>
    <row r="185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</row>
    <row r="186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</row>
    <row r="187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</row>
    <row r="18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</row>
    <row r="18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</row>
    <row r="190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</row>
    <row r="19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</row>
    <row r="192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</row>
    <row r="193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</row>
    <row r="194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</row>
    <row r="195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</row>
    <row r="196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</row>
    <row r="197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</row>
    <row r="19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</row>
    <row r="19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</row>
    <row r="200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</row>
    <row r="20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</row>
    <row r="202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</row>
    <row r="203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</row>
    <row r="204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</row>
    <row r="205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</row>
    <row r="206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</row>
    <row r="207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</row>
    <row r="20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</row>
    <row r="20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</row>
    <row r="210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</row>
    <row r="21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</row>
    <row r="212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</row>
    <row r="213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</row>
    <row r="214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</row>
    <row r="215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</row>
    <row r="216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</row>
    <row r="21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</row>
    <row r="21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</row>
    <row r="21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</row>
    <row r="220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</row>
    <row r="22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</row>
    <row r="222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</row>
    <row r="223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</row>
    <row r="224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</row>
    <row r="225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</row>
    <row r="226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</row>
    <row r="227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</row>
    <row r="2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</row>
    <row r="22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</row>
    <row r="230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</row>
    <row r="2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</row>
    <row r="232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</row>
    <row r="233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</row>
    <row r="234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</row>
    <row r="235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</row>
    <row r="236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</row>
    <row r="237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</row>
    <row r="23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</row>
    <row r="23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</row>
    <row r="240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</row>
    <row r="2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</row>
    <row r="242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</row>
    <row r="243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</row>
    <row r="244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</row>
    <row r="245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</row>
    <row r="246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</row>
    <row r="247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</row>
    <row r="24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</row>
    <row r="24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</row>
    <row r="250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</row>
    <row r="25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</row>
    <row r="252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</row>
    <row r="253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</row>
    <row r="254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</row>
    <row r="255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</row>
    <row r="256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</row>
    <row r="257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</row>
    <row r="25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</row>
    <row r="2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</row>
    <row r="260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</row>
    <row r="26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</row>
    <row r="262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</row>
    <row r="263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</row>
    <row r="264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</row>
    <row r="265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</row>
    <row r="266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</row>
    <row r="267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</row>
    <row r="26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</row>
    <row r="26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</row>
    <row r="270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</row>
    <row r="2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</row>
    <row r="272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</row>
    <row r="273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</row>
    <row r="274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</row>
    <row r="275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</row>
    <row r="276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</row>
    <row r="277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</row>
    <row r="27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</row>
    <row r="27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</row>
    <row r="280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</row>
    <row r="28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</row>
    <row r="282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</row>
    <row r="283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</row>
    <row r="284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</row>
    <row r="285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</row>
    <row r="286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</row>
    <row r="287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</row>
    <row r="28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</row>
    <row r="28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</row>
    <row r="290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</row>
    <row r="29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</row>
    <row r="292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</row>
    <row r="293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</row>
    <row r="294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</row>
    <row r="295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</row>
    <row r="296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</row>
    <row r="297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</row>
    <row r="29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</row>
    <row r="29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</row>
    <row r="300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</row>
    <row r="30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</row>
    <row r="302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</row>
    <row r="303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</row>
    <row r="304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</row>
    <row r="305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</row>
    <row r="306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</row>
    <row r="307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</row>
    <row r="30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</row>
    <row r="30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</row>
    <row r="310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</row>
    <row r="31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</row>
    <row r="312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</row>
    <row r="313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</row>
    <row r="314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</row>
    <row r="315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</row>
    <row r="316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</row>
    <row r="317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</row>
    <row r="31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</row>
    <row r="31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</row>
    <row r="320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</row>
    <row r="32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</row>
    <row r="322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</row>
    <row r="323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</row>
    <row r="324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</row>
    <row r="325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</row>
    <row r="326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</row>
    <row r="327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</row>
    <row r="3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</row>
    <row r="32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</row>
    <row r="330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</row>
    <row r="3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</row>
    <row r="332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</row>
    <row r="333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</row>
    <row r="334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</row>
    <row r="335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</row>
    <row r="336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</row>
    <row r="337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</row>
    <row r="33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</row>
    <row r="33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</row>
  </sheetData>
  <mergeCells count="20">
    <mergeCell ref="C34:D34"/>
    <mergeCell ref="D4:E5"/>
    <mergeCell ref="C30:D30"/>
    <mergeCell ref="B7:C7"/>
    <mergeCell ref="A36:E36"/>
    <mergeCell ref="D6:E6"/>
    <mergeCell ref="C29:D29"/>
    <mergeCell ref="A5:C5"/>
    <mergeCell ref="C1:D1"/>
    <mergeCell ref="A37:E37"/>
    <mergeCell ref="C31:D31"/>
    <mergeCell ref="A4:C4"/>
    <mergeCell ref="B8:C8"/>
    <mergeCell ref="B9:C9"/>
    <mergeCell ref="D9:E9"/>
    <mergeCell ref="B6:C6"/>
    <mergeCell ref="C32:D32"/>
    <mergeCell ref="A38:E38"/>
    <mergeCell ref="C28:D28"/>
    <mergeCell ref="A34:B34"/>
  </mergeCells>
  <dataValidations count="1">
    <dataValidation sqref="B6" showDropDown="0" showInputMessage="0" showErrorMessage="0" allowBlank="1" promptTitle="🔎 Which invoice?" prompt="LATEST = always show the sale you just made. Or pick any past invoice number." type="list">
      <formula1>INV_PICK</formula1>
    </dataValidation>
  </dataValidations>
  <pageMargins left="0.4" right="0.4" top="0.5" bottom="0.5" header="0.5" footer="0.5"/>
  <pageSetup orientation="portrait" fitToHeight="1" fitToWidth="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334155"/>
    <outlinePr summaryBelow="1" summaryRight="1"/>
    <pageSetUpPr/>
  </sheetPr>
  <dimension ref="A1:H339"/>
  <sheetViews>
    <sheetView showGridLines="0" showRowColHeaders="0" tabSelected="0"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24" customWidth="1" min="2" max="2"/>
    <col width="20" customWidth="1" min="3" max="3"/>
    <col width="18" customWidth="1" min="4" max="4"/>
    <col width="18" customWidth="1" min="5" max="5"/>
    <col width="18" customWidth="1" min="6" max="6"/>
    <col width="18" customWidth="1" min="7" max="7"/>
    <col width="3" customWidth="1" min="8" max="8"/>
  </cols>
  <sheetData>
    <row r="1" ht="40" customHeight="1">
      <c r="A1" s="1">
        <f>HYPERLINK("#'Dashboard'!A1","🏠 Home")</f>
        <v/>
      </c>
      <c r="C1" s="1">
        <f>HYPERLINK("#'Item Master'!A1","📦 Items")</f>
        <v/>
      </c>
      <c r="D1" s="1">
        <f>HYPERLINK("#'Log Sale'!A1","🛒 New Sale")</f>
        <v/>
      </c>
      <c r="E1" s="1">
        <f>HYPERLINK("#'Stock In'!A1","📥 Stock In")</f>
        <v/>
      </c>
      <c r="F1" s="1">
        <f>HYPERLINK("#'Invoice Generator'!A1","🧾 Invoice")</f>
        <v/>
      </c>
      <c r="G1" s="1">
        <f>HYPERLINK("#'Sales Log'!A1","📊 Logs")</f>
        <v/>
      </c>
    </row>
    <row r="2" ht="6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 ht="20" customHeight="1">
      <c r="A4" s="3" t="n"/>
      <c r="B4" s="16" t="inlineStr">
        <is>
          <t>CONFIGURATION</t>
        </is>
      </c>
      <c r="H4" s="3" t="n"/>
    </row>
    <row r="5" ht="34" customHeight="1">
      <c r="A5" s="3" t="n"/>
      <c r="B5" s="17" t="inlineStr">
        <is>
          <t>⚙️ Settings</t>
        </is>
      </c>
      <c r="H5" s="3" t="n"/>
    </row>
    <row r="6" ht="20" customHeight="1">
      <c r="A6" s="3" t="n"/>
      <c r="B6" s="18" t="inlineStr">
        <is>
          <t>Fill these once. Every screen reads from here.</t>
        </is>
      </c>
      <c r="H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</row>
    <row r="8" ht="34" customHeight="1">
      <c r="A8" s="3" t="n"/>
      <c r="B8" s="11" t="inlineStr">
        <is>
          <t>🏪 Business name</t>
        </is>
      </c>
      <c r="C8" s="86" t="inlineStr">
        <is>
          <t>Momentum Mind Store</t>
        </is>
      </c>
      <c r="D8" s="87" t="n"/>
      <c r="E8" s="87" t="n"/>
      <c r="F8" s="87" t="n"/>
      <c r="G8" s="87" t="n"/>
      <c r="H8" s="3" t="n"/>
    </row>
    <row r="9" ht="34" customHeight="1">
      <c r="A9" s="3" t="n"/>
      <c r="B9" s="11" t="inlineStr">
        <is>
          <t>✉️ Business email</t>
        </is>
      </c>
      <c r="C9" s="86" t="inlineStr">
        <is>
          <t>hello@momentummindstore.com</t>
        </is>
      </c>
      <c r="D9" s="87" t="n"/>
      <c r="E9" s="87" t="n"/>
      <c r="F9" s="87" t="n"/>
      <c r="G9" s="87" t="n"/>
      <c r="H9" s="3" t="n"/>
    </row>
    <row r="10" ht="34" customHeight="1">
      <c r="A10" s="3" t="n"/>
      <c r="B10" s="11" t="inlineStr">
        <is>
          <t>📞 Business phone</t>
        </is>
      </c>
      <c r="C10" s="88" t="inlineStr">
        <is>
          <t>+1 555 010 2030</t>
        </is>
      </c>
      <c r="D10" s="87" t="n"/>
      <c r="E10" s="87" t="n"/>
      <c r="F10" s="87" t="n"/>
      <c r="G10" s="87" t="n"/>
      <c r="H10" s="3" t="n"/>
    </row>
    <row r="11" ht="34" customHeight="1">
      <c r="A11" s="3" t="n"/>
      <c r="B11" s="11" t="inlineStr">
        <is>
          <t>🌐 Website / Etsy</t>
        </is>
      </c>
      <c r="C11" s="86" t="inlineStr">
        <is>
          <t>etsy.com/shop/MomentumMindStore</t>
        </is>
      </c>
      <c r="D11" s="87" t="n"/>
      <c r="E11" s="87" t="n"/>
      <c r="F11" s="87" t="n"/>
      <c r="G11" s="87" t="n"/>
      <c r="H11" s="3" t="n"/>
    </row>
    <row r="12" ht="34" customHeight="1">
      <c r="A12" s="3" t="n"/>
      <c r="B12" s="11" t="inlineStr">
        <is>
          <t>🧾 Tax rate</t>
        </is>
      </c>
      <c r="C12" s="89" t="n">
        <v>0.1</v>
      </c>
      <c r="D12" s="87" t="n"/>
      <c r="E12" s="87" t="n"/>
      <c r="F12" s="87" t="n"/>
      <c r="G12" s="87" t="n"/>
      <c r="H12" s="3" t="n"/>
    </row>
    <row r="13" ht="34" customHeight="1">
      <c r="A13" s="3" t="n"/>
      <c r="B13" s="11" t="inlineStr">
        <is>
          <t>💱 Currency symbol</t>
        </is>
      </c>
      <c r="C13" s="86" t="inlineStr">
        <is>
          <t>$</t>
        </is>
      </c>
      <c r="D13" s="87" t="n"/>
      <c r="E13" s="87" t="n"/>
      <c r="F13" s="87" t="n"/>
      <c r="G13" s="87" t="n"/>
      <c r="H13" s="3" t="n"/>
    </row>
    <row r="14" ht="34" customHeight="1">
      <c r="A14" s="3" t="n"/>
      <c r="B14" s="11" t="inlineStr">
        <is>
          <t>#️⃣ Invoice prefix</t>
        </is>
      </c>
      <c r="C14" s="86" t="inlineStr">
        <is>
          <t>INV-</t>
        </is>
      </c>
      <c r="D14" s="87" t="n"/>
      <c r="E14" s="87" t="n"/>
      <c r="F14" s="87" t="n"/>
      <c r="G14" s="87" t="n"/>
      <c r="H14" s="3" t="n"/>
    </row>
    <row r="15" ht="34" customHeight="1">
      <c r="A15" s="3" t="n"/>
      <c r="B15" s="11" t="inlineStr">
        <is>
          <t>📆 Payment due (days)</t>
        </is>
      </c>
      <c r="C15" s="90" t="n">
        <v>14</v>
      </c>
      <c r="D15" s="87" t="n"/>
      <c r="E15" s="87" t="n"/>
      <c r="F15" s="87" t="n"/>
      <c r="G15" s="87" t="n"/>
      <c r="H15" s="3" t="n"/>
    </row>
    <row r="16" ht="34" customHeight="1">
      <c r="A16" s="3" t="n"/>
      <c r="B16" s="11" t="inlineStr">
        <is>
          <t>💳 Payment terms</t>
        </is>
      </c>
      <c r="C16" s="86" t="inlineStr">
        <is>
          <t>Payment due within 14 days of invoice date.</t>
        </is>
      </c>
      <c r="D16" s="87" t="n"/>
      <c r="E16" s="87" t="n"/>
      <c r="F16" s="87" t="n"/>
      <c r="G16" s="87" t="n"/>
      <c r="H16" s="3" t="n"/>
    </row>
    <row r="17" ht="34" customHeight="1">
      <c r="A17" s="3" t="n"/>
      <c r="B17" s="11" t="inlineStr">
        <is>
          <t>🏦 Payment details</t>
        </is>
      </c>
      <c r="C17" s="86" t="inlineStr">
        <is>
          <t>Bank: Example Bank · Acct: 0000 0000 · Ref: your invoice no.</t>
        </is>
      </c>
      <c r="D17" s="87" t="n"/>
      <c r="E17" s="87" t="n"/>
      <c r="F17" s="87" t="n"/>
      <c r="G17" s="87" t="n"/>
      <c r="H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</row>
    <row r="19" ht="30" customHeight="1">
      <c r="A19" s="3" t="n"/>
      <c r="B19" s="14" t="inlineStr">
        <is>
          <t>🔒 Rows 8–17 are the only cells you edit here. Everything else is automatic.</t>
        </is>
      </c>
      <c r="H19" s="3" t="n"/>
    </row>
    <row r="20" ht="30" customHeight="1">
      <c r="A20" s="3" t="n"/>
      <c r="B20" s="14" t="inlineStr">
        <is>
          <t>💱 The currency symbol above is documentation only — Excel number formats are static. To change currency, select the money columns and apply e.g. £#,##0.00</t>
        </is>
      </c>
      <c r="H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</row>
    <row r="50">
      <c r="A50" s="3" t="n"/>
      <c r="B50" s="3" t="n"/>
      <c r="C50" s="3" t="n"/>
      <c r="D50" s="3" t="n"/>
      <c r="E50" s="3" t="n"/>
      <c r="F50" s="3" t="n"/>
      <c r="G50" s="3" t="n"/>
      <c r="H50" s="3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</row>
    <row r="80">
      <c r="A80" s="3" t="n"/>
      <c r="B80" s="3" t="n"/>
      <c r="C80" s="3" t="n"/>
      <c r="D80" s="3" t="n"/>
      <c r="E80" s="3" t="n"/>
      <c r="F80" s="3" t="n"/>
      <c r="G80" s="3" t="n"/>
      <c r="H80" s="3" t="n"/>
    </row>
    <row r="81">
      <c r="A81" s="3" t="n"/>
      <c r="B81" s="3" t="n"/>
      <c r="C81" s="3" t="n"/>
      <c r="D81" s="3" t="n"/>
      <c r="E81" s="3" t="n"/>
      <c r="F81" s="3" t="n"/>
      <c r="G81" s="3" t="n"/>
      <c r="H81" s="3" t="n"/>
    </row>
    <row r="82">
      <c r="A82" s="3" t="n"/>
      <c r="B82" s="3" t="n"/>
      <c r="C82" s="3" t="n"/>
      <c r="D82" s="3" t="n"/>
      <c r="E82" s="3" t="n"/>
      <c r="F82" s="3" t="n"/>
      <c r="G82" s="3" t="n"/>
      <c r="H82" s="3" t="n"/>
    </row>
    <row r="83">
      <c r="A83" s="3" t="n"/>
      <c r="B83" s="3" t="n"/>
      <c r="C83" s="3" t="n"/>
      <c r="D83" s="3" t="n"/>
      <c r="E83" s="3" t="n"/>
      <c r="F83" s="3" t="n"/>
      <c r="G83" s="3" t="n"/>
      <c r="H83" s="3" t="n"/>
    </row>
    <row r="84">
      <c r="A84" s="3" t="n"/>
      <c r="B84" s="3" t="n"/>
      <c r="C84" s="3" t="n"/>
      <c r="D84" s="3" t="n"/>
      <c r="E84" s="3" t="n"/>
      <c r="F84" s="3" t="n"/>
      <c r="G84" s="3" t="n"/>
      <c r="H84" s="3" t="n"/>
    </row>
    <row r="85">
      <c r="A85" s="3" t="n"/>
      <c r="B85" s="3" t="n"/>
      <c r="C85" s="3" t="n"/>
      <c r="D85" s="3" t="n"/>
      <c r="E85" s="3" t="n"/>
      <c r="F85" s="3" t="n"/>
      <c r="G85" s="3" t="n"/>
      <c r="H85" s="3" t="n"/>
    </row>
    <row r="86">
      <c r="A86" s="3" t="n"/>
      <c r="B86" s="3" t="n"/>
      <c r="C86" s="3" t="n"/>
      <c r="D86" s="3" t="n"/>
      <c r="E86" s="3" t="n"/>
      <c r="F86" s="3" t="n"/>
      <c r="G86" s="3" t="n"/>
      <c r="H86" s="3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</row>
    <row r="88">
      <c r="A88" s="3" t="n"/>
      <c r="B88" s="3" t="n"/>
      <c r="C88" s="3" t="n"/>
      <c r="D88" s="3" t="n"/>
      <c r="E88" s="3" t="n"/>
      <c r="F88" s="3" t="n"/>
      <c r="G88" s="3" t="n"/>
      <c r="H88" s="3" t="n"/>
    </row>
    <row r="89">
      <c r="A89" s="3" t="n"/>
      <c r="B89" s="3" t="n"/>
      <c r="C89" s="3" t="n"/>
      <c r="D89" s="3" t="n"/>
      <c r="E89" s="3" t="n"/>
      <c r="F89" s="3" t="n"/>
      <c r="G89" s="3" t="n"/>
      <c r="H89" s="3" t="n"/>
    </row>
    <row r="90">
      <c r="A90" s="3" t="n"/>
      <c r="B90" s="3" t="n"/>
      <c r="C90" s="3" t="n"/>
      <c r="D90" s="3" t="n"/>
      <c r="E90" s="3" t="n"/>
      <c r="F90" s="3" t="n"/>
      <c r="G90" s="3" t="n"/>
      <c r="H90" s="3" t="n"/>
    </row>
    <row r="91">
      <c r="A91" s="3" t="n"/>
      <c r="B91" s="3" t="n"/>
      <c r="C91" s="3" t="n"/>
      <c r="D91" s="3" t="n"/>
      <c r="E91" s="3" t="n"/>
      <c r="F91" s="3" t="n"/>
      <c r="G91" s="3" t="n"/>
      <c r="H91" s="3" t="n"/>
    </row>
    <row r="92">
      <c r="A92" s="3" t="n"/>
      <c r="B92" s="3" t="n"/>
      <c r="C92" s="3" t="n"/>
      <c r="D92" s="3" t="n"/>
      <c r="E92" s="3" t="n"/>
      <c r="F92" s="3" t="n"/>
      <c r="G92" s="3" t="n"/>
      <c r="H92" s="3" t="n"/>
    </row>
    <row r="93">
      <c r="A93" s="3" t="n"/>
      <c r="B93" s="3" t="n"/>
      <c r="C93" s="3" t="n"/>
      <c r="D93" s="3" t="n"/>
      <c r="E93" s="3" t="n"/>
      <c r="F93" s="3" t="n"/>
      <c r="G93" s="3" t="n"/>
      <c r="H93" s="3" t="n"/>
    </row>
    <row r="94">
      <c r="A94" s="3" t="n"/>
      <c r="B94" s="3" t="n"/>
      <c r="C94" s="3" t="n"/>
      <c r="D94" s="3" t="n"/>
      <c r="E94" s="3" t="n"/>
      <c r="F94" s="3" t="n"/>
      <c r="G94" s="3" t="n"/>
      <c r="H94" s="3" t="n"/>
    </row>
    <row r="95">
      <c r="A95" s="3" t="n"/>
      <c r="B95" s="3" t="n"/>
      <c r="C95" s="3" t="n"/>
      <c r="D95" s="3" t="n"/>
      <c r="E95" s="3" t="n"/>
      <c r="F95" s="3" t="n"/>
      <c r="G95" s="3" t="n"/>
      <c r="H95" s="3" t="n"/>
    </row>
    <row r="96">
      <c r="A96" s="3" t="n"/>
      <c r="B96" s="3" t="n"/>
      <c r="C96" s="3" t="n"/>
      <c r="D96" s="3" t="n"/>
      <c r="E96" s="3" t="n"/>
      <c r="F96" s="3" t="n"/>
      <c r="G96" s="3" t="n"/>
      <c r="H96" s="3" t="n"/>
    </row>
    <row r="97">
      <c r="A97" s="3" t="n"/>
      <c r="B97" s="3" t="n"/>
      <c r="C97" s="3" t="n"/>
      <c r="D97" s="3" t="n"/>
      <c r="E97" s="3" t="n"/>
      <c r="F97" s="3" t="n"/>
      <c r="G97" s="3" t="n"/>
      <c r="H97" s="3" t="n"/>
    </row>
    <row r="98">
      <c r="A98" s="3" t="n"/>
      <c r="B98" s="3" t="n"/>
      <c r="C98" s="3" t="n"/>
      <c r="D98" s="3" t="n"/>
      <c r="E98" s="3" t="n"/>
      <c r="F98" s="3" t="n"/>
      <c r="G98" s="3" t="n"/>
      <c r="H98" s="3" t="n"/>
    </row>
    <row r="99">
      <c r="A99" s="3" t="n"/>
      <c r="B99" s="3" t="n"/>
      <c r="C99" s="3" t="n"/>
      <c r="D99" s="3" t="n"/>
      <c r="E99" s="3" t="n"/>
      <c r="F99" s="3" t="n"/>
      <c r="G99" s="3" t="n"/>
      <c r="H99" s="3" t="n"/>
    </row>
    <row r="100">
      <c r="A100" s="3" t="n"/>
      <c r="B100" s="3" t="n"/>
      <c r="C100" s="3" t="n"/>
      <c r="D100" s="3" t="n"/>
      <c r="E100" s="3" t="n"/>
      <c r="F100" s="3" t="n"/>
      <c r="G100" s="3" t="n"/>
      <c r="H100" s="3" t="n"/>
    </row>
    <row r="101">
      <c r="A101" s="3" t="n"/>
      <c r="B101" s="3" t="n"/>
      <c r="C101" s="3" t="n"/>
      <c r="D101" s="3" t="n"/>
      <c r="E101" s="3" t="n"/>
      <c r="F101" s="3" t="n"/>
      <c r="G101" s="3" t="n"/>
      <c r="H101" s="3" t="n"/>
    </row>
    <row r="102">
      <c r="A102" s="3" t="n"/>
      <c r="B102" s="3" t="n"/>
      <c r="C102" s="3" t="n"/>
      <c r="D102" s="3" t="n"/>
      <c r="E102" s="3" t="n"/>
      <c r="F102" s="3" t="n"/>
      <c r="G102" s="3" t="n"/>
      <c r="H102" s="3" t="n"/>
    </row>
    <row r="103">
      <c r="A103" s="3" t="n"/>
      <c r="B103" s="3" t="n"/>
      <c r="C103" s="3" t="n"/>
      <c r="D103" s="3" t="n"/>
      <c r="E103" s="3" t="n"/>
      <c r="F103" s="3" t="n"/>
      <c r="G103" s="3" t="n"/>
      <c r="H103" s="3" t="n"/>
    </row>
    <row r="104">
      <c r="A104" s="3" t="n"/>
      <c r="B104" s="3" t="n"/>
      <c r="C104" s="3" t="n"/>
      <c r="D104" s="3" t="n"/>
      <c r="E104" s="3" t="n"/>
      <c r="F104" s="3" t="n"/>
      <c r="G104" s="3" t="n"/>
      <c r="H104" s="3" t="n"/>
    </row>
    <row r="105">
      <c r="A105" s="3" t="n"/>
      <c r="B105" s="3" t="n"/>
      <c r="C105" s="3" t="n"/>
      <c r="D105" s="3" t="n"/>
      <c r="E105" s="3" t="n"/>
      <c r="F105" s="3" t="n"/>
      <c r="G105" s="3" t="n"/>
      <c r="H105" s="3" t="n"/>
    </row>
    <row r="106">
      <c r="A106" s="3" t="n"/>
      <c r="B106" s="3" t="n"/>
      <c r="C106" s="3" t="n"/>
      <c r="D106" s="3" t="n"/>
      <c r="E106" s="3" t="n"/>
      <c r="F106" s="3" t="n"/>
      <c r="G106" s="3" t="n"/>
      <c r="H106" s="3" t="n"/>
    </row>
    <row r="107">
      <c r="A107" s="3" t="n"/>
      <c r="B107" s="3" t="n"/>
      <c r="C107" s="3" t="n"/>
      <c r="D107" s="3" t="n"/>
      <c r="E107" s="3" t="n"/>
      <c r="F107" s="3" t="n"/>
      <c r="G107" s="3" t="n"/>
      <c r="H107" s="3" t="n"/>
    </row>
    <row r="108">
      <c r="A108" s="3" t="n"/>
      <c r="B108" s="3" t="n"/>
      <c r="C108" s="3" t="n"/>
      <c r="D108" s="3" t="n"/>
      <c r="E108" s="3" t="n"/>
      <c r="F108" s="3" t="n"/>
      <c r="G108" s="3" t="n"/>
      <c r="H108" s="3" t="n"/>
    </row>
    <row r="109">
      <c r="A109" s="3" t="n"/>
      <c r="B109" s="3" t="n"/>
      <c r="C109" s="3" t="n"/>
      <c r="D109" s="3" t="n"/>
      <c r="E109" s="3" t="n"/>
      <c r="F109" s="3" t="n"/>
      <c r="G109" s="3" t="n"/>
      <c r="H109" s="3" t="n"/>
    </row>
    <row r="110">
      <c r="A110" s="3" t="n"/>
      <c r="B110" s="3" t="n"/>
      <c r="C110" s="3" t="n"/>
      <c r="D110" s="3" t="n"/>
      <c r="E110" s="3" t="n"/>
      <c r="F110" s="3" t="n"/>
      <c r="G110" s="3" t="n"/>
      <c r="H110" s="3" t="n"/>
    </row>
    <row r="111">
      <c r="A111" s="3" t="n"/>
      <c r="B111" s="3" t="n"/>
      <c r="C111" s="3" t="n"/>
      <c r="D111" s="3" t="n"/>
      <c r="E111" s="3" t="n"/>
      <c r="F111" s="3" t="n"/>
      <c r="G111" s="3" t="n"/>
      <c r="H111" s="3" t="n"/>
    </row>
    <row r="112">
      <c r="A112" s="3" t="n"/>
      <c r="B112" s="3" t="n"/>
      <c r="C112" s="3" t="n"/>
      <c r="D112" s="3" t="n"/>
      <c r="E112" s="3" t="n"/>
      <c r="F112" s="3" t="n"/>
      <c r="G112" s="3" t="n"/>
      <c r="H112" s="3" t="n"/>
    </row>
    <row r="113">
      <c r="A113" s="3" t="n"/>
      <c r="B113" s="3" t="n"/>
      <c r="C113" s="3" t="n"/>
      <c r="D113" s="3" t="n"/>
      <c r="E113" s="3" t="n"/>
      <c r="F113" s="3" t="n"/>
      <c r="G113" s="3" t="n"/>
      <c r="H113" s="3" t="n"/>
    </row>
    <row r="114">
      <c r="A114" s="3" t="n"/>
      <c r="B114" s="3" t="n"/>
      <c r="C114" s="3" t="n"/>
      <c r="D114" s="3" t="n"/>
      <c r="E114" s="3" t="n"/>
      <c r="F114" s="3" t="n"/>
      <c r="G114" s="3" t="n"/>
      <c r="H114" s="3" t="n"/>
    </row>
    <row r="115">
      <c r="A115" s="3" t="n"/>
      <c r="B115" s="3" t="n"/>
      <c r="C115" s="3" t="n"/>
      <c r="D115" s="3" t="n"/>
      <c r="E115" s="3" t="n"/>
      <c r="F115" s="3" t="n"/>
      <c r="G115" s="3" t="n"/>
      <c r="H115" s="3" t="n"/>
    </row>
    <row r="116">
      <c r="A116" s="3" t="n"/>
      <c r="B116" s="3" t="n"/>
      <c r="C116" s="3" t="n"/>
      <c r="D116" s="3" t="n"/>
      <c r="E116" s="3" t="n"/>
      <c r="F116" s="3" t="n"/>
      <c r="G116" s="3" t="n"/>
      <c r="H116" s="3" t="n"/>
    </row>
    <row r="117">
      <c r="A117" s="3" t="n"/>
      <c r="B117" s="3" t="n"/>
      <c r="C117" s="3" t="n"/>
      <c r="D117" s="3" t="n"/>
      <c r="E117" s="3" t="n"/>
      <c r="F117" s="3" t="n"/>
      <c r="G117" s="3" t="n"/>
      <c r="H117" s="3" t="n"/>
    </row>
    <row r="118">
      <c r="A118" s="3" t="n"/>
      <c r="B118" s="3" t="n"/>
      <c r="C118" s="3" t="n"/>
      <c r="D118" s="3" t="n"/>
      <c r="E118" s="3" t="n"/>
      <c r="F118" s="3" t="n"/>
      <c r="G118" s="3" t="n"/>
      <c r="H118" s="3" t="n"/>
    </row>
    <row r="119">
      <c r="A119" s="3" t="n"/>
      <c r="B119" s="3" t="n"/>
      <c r="C119" s="3" t="n"/>
      <c r="D119" s="3" t="n"/>
      <c r="E119" s="3" t="n"/>
      <c r="F119" s="3" t="n"/>
      <c r="G119" s="3" t="n"/>
      <c r="H119" s="3" t="n"/>
    </row>
    <row r="120">
      <c r="A120" s="3" t="n"/>
      <c r="B120" s="3" t="n"/>
      <c r="C120" s="3" t="n"/>
      <c r="D120" s="3" t="n"/>
      <c r="E120" s="3" t="n"/>
      <c r="F120" s="3" t="n"/>
      <c r="G120" s="3" t="n"/>
      <c r="H120" s="3" t="n"/>
    </row>
    <row r="121">
      <c r="A121" s="3" t="n"/>
      <c r="B121" s="3" t="n"/>
      <c r="C121" s="3" t="n"/>
      <c r="D121" s="3" t="n"/>
      <c r="E121" s="3" t="n"/>
      <c r="F121" s="3" t="n"/>
      <c r="G121" s="3" t="n"/>
      <c r="H121" s="3" t="n"/>
    </row>
    <row r="122">
      <c r="A122" s="3" t="n"/>
      <c r="B122" s="3" t="n"/>
      <c r="C122" s="3" t="n"/>
      <c r="D122" s="3" t="n"/>
      <c r="E122" s="3" t="n"/>
      <c r="F122" s="3" t="n"/>
      <c r="G122" s="3" t="n"/>
      <c r="H122" s="3" t="n"/>
    </row>
    <row r="123">
      <c r="A123" s="3" t="n"/>
      <c r="B123" s="3" t="n"/>
      <c r="C123" s="3" t="n"/>
      <c r="D123" s="3" t="n"/>
      <c r="E123" s="3" t="n"/>
      <c r="F123" s="3" t="n"/>
      <c r="G123" s="3" t="n"/>
      <c r="H123" s="3" t="n"/>
    </row>
    <row r="124">
      <c r="A124" s="3" t="n"/>
      <c r="B124" s="3" t="n"/>
      <c r="C124" s="3" t="n"/>
      <c r="D124" s="3" t="n"/>
      <c r="E124" s="3" t="n"/>
      <c r="F124" s="3" t="n"/>
      <c r="G124" s="3" t="n"/>
      <c r="H124" s="3" t="n"/>
    </row>
    <row r="125">
      <c r="A125" s="3" t="n"/>
      <c r="B125" s="3" t="n"/>
      <c r="C125" s="3" t="n"/>
      <c r="D125" s="3" t="n"/>
      <c r="E125" s="3" t="n"/>
      <c r="F125" s="3" t="n"/>
      <c r="G125" s="3" t="n"/>
      <c r="H125" s="3" t="n"/>
    </row>
    <row r="126">
      <c r="A126" s="3" t="n"/>
      <c r="B126" s="3" t="n"/>
      <c r="C126" s="3" t="n"/>
      <c r="D126" s="3" t="n"/>
      <c r="E126" s="3" t="n"/>
      <c r="F126" s="3" t="n"/>
      <c r="G126" s="3" t="n"/>
      <c r="H126" s="3" t="n"/>
    </row>
    <row r="127">
      <c r="A127" s="3" t="n"/>
      <c r="B127" s="3" t="n"/>
      <c r="C127" s="3" t="n"/>
      <c r="D127" s="3" t="n"/>
      <c r="E127" s="3" t="n"/>
      <c r="F127" s="3" t="n"/>
      <c r="G127" s="3" t="n"/>
      <c r="H127" s="3" t="n"/>
    </row>
    <row r="128">
      <c r="A128" s="3" t="n"/>
      <c r="B128" s="3" t="n"/>
      <c r="C128" s="3" t="n"/>
      <c r="D128" s="3" t="n"/>
      <c r="E128" s="3" t="n"/>
      <c r="F128" s="3" t="n"/>
      <c r="G128" s="3" t="n"/>
      <c r="H128" s="3" t="n"/>
    </row>
    <row r="129">
      <c r="A129" s="3" t="n"/>
      <c r="B129" s="3" t="n"/>
      <c r="C129" s="3" t="n"/>
      <c r="D129" s="3" t="n"/>
      <c r="E129" s="3" t="n"/>
      <c r="F129" s="3" t="n"/>
      <c r="G129" s="3" t="n"/>
      <c r="H129" s="3" t="n"/>
    </row>
    <row r="130">
      <c r="A130" s="3" t="n"/>
      <c r="B130" s="3" t="n"/>
      <c r="C130" s="3" t="n"/>
      <c r="D130" s="3" t="n"/>
      <c r="E130" s="3" t="n"/>
      <c r="F130" s="3" t="n"/>
      <c r="G130" s="3" t="n"/>
      <c r="H130" s="3" t="n"/>
    </row>
    <row r="131">
      <c r="A131" s="3" t="n"/>
      <c r="B131" s="3" t="n"/>
      <c r="C131" s="3" t="n"/>
      <c r="D131" s="3" t="n"/>
      <c r="E131" s="3" t="n"/>
      <c r="F131" s="3" t="n"/>
      <c r="G131" s="3" t="n"/>
      <c r="H131" s="3" t="n"/>
    </row>
    <row r="132">
      <c r="A132" s="3" t="n"/>
      <c r="B132" s="3" t="n"/>
      <c r="C132" s="3" t="n"/>
      <c r="D132" s="3" t="n"/>
      <c r="E132" s="3" t="n"/>
      <c r="F132" s="3" t="n"/>
      <c r="G132" s="3" t="n"/>
      <c r="H132" s="3" t="n"/>
    </row>
    <row r="133">
      <c r="A133" s="3" t="n"/>
      <c r="B133" s="3" t="n"/>
      <c r="C133" s="3" t="n"/>
      <c r="D133" s="3" t="n"/>
      <c r="E133" s="3" t="n"/>
      <c r="F133" s="3" t="n"/>
      <c r="G133" s="3" t="n"/>
      <c r="H133" s="3" t="n"/>
    </row>
    <row r="134">
      <c r="A134" s="3" t="n"/>
      <c r="B134" s="3" t="n"/>
      <c r="C134" s="3" t="n"/>
      <c r="D134" s="3" t="n"/>
      <c r="E134" s="3" t="n"/>
      <c r="F134" s="3" t="n"/>
      <c r="G134" s="3" t="n"/>
      <c r="H134" s="3" t="n"/>
    </row>
    <row r="135">
      <c r="A135" s="3" t="n"/>
      <c r="B135" s="3" t="n"/>
      <c r="C135" s="3" t="n"/>
      <c r="D135" s="3" t="n"/>
      <c r="E135" s="3" t="n"/>
      <c r="F135" s="3" t="n"/>
      <c r="G135" s="3" t="n"/>
      <c r="H135" s="3" t="n"/>
    </row>
    <row r="136">
      <c r="A136" s="3" t="n"/>
      <c r="B136" s="3" t="n"/>
      <c r="C136" s="3" t="n"/>
      <c r="D136" s="3" t="n"/>
      <c r="E136" s="3" t="n"/>
      <c r="F136" s="3" t="n"/>
      <c r="G136" s="3" t="n"/>
      <c r="H136" s="3" t="n"/>
    </row>
    <row r="137">
      <c r="A137" s="3" t="n"/>
      <c r="B137" s="3" t="n"/>
      <c r="C137" s="3" t="n"/>
      <c r="D137" s="3" t="n"/>
      <c r="E137" s="3" t="n"/>
      <c r="F137" s="3" t="n"/>
      <c r="G137" s="3" t="n"/>
      <c r="H137" s="3" t="n"/>
    </row>
    <row r="138">
      <c r="A138" s="3" t="n"/>
      <c r="B138" s="3" t="n"/>
      <c r="C138" s="3" t="n"/>
      <c r="D138" s="3" t="n"/>
      <c r="E138" s="3" t="n"/>
      <c r="F138" s="3" t="n"/>
      <c r="G138" s="3" t="n"/>
      <c r="H138" s="3" t="n"/>
    </row>
    <row r="139">
      <c r="A139" s="3" t="n"/>
      <c r="B139" s="3" t="n"/>
      <c r="C139" s="3" t="n"/>
      <c r="D139" s="3" t="n"/>
      <c r="E139" s="3" t="n"/>
      <c r="F139" s="3" t="n"/>
      <c r="G139" s="3" t="n"/>
      <c r="H139" s="3" t="n"/>
    </row>
    <row r="140">
      <c r="A140" s="3" t="n"/>
      <c r="B140" s="3" t="n"/>
      <c r="C140" s="3" t="n"/>
      <c r="D140" s="3" t="n"/>
      <c r="E140" s="3" t="n"/>
      <c r="F140" s="3" t="n"/>
      <c r="G140" s="3" t="n"/>
      <c r="H140" s="3" t="n"/>
    </row>
    <row r="141">
      <c r="A141" s="3" t="n"/>
      <c r="B141" s="3" t="n"/>
      <c r="C141" s="3" t="n"/>
      <c r="D141" s="3" t="n"/>
      <c r="E141" s="3" t="n"/>
      <c r="F141" s="3" t="n"/>
      <c r="G141" s="3" t="n"/>
      <c r="H141" s="3" t="n"/>
    </row>
    <row r="142">
      <c r="A142" s="3" t="n"/>
      <c r="B142" s="3" t="n"/>
      <c r="C142" s="3" t="n"/>
      <c r="D142" s="3" t="n"/>
      <c r="E142" s="3" t="n"/>
      <c r="F142" s="3" t="n"/>
      <c r="G142" s="3" t="n"/>
      <c r="H142" s="3" t="n"/>
    </row>
    <row r="143">
      <c r="A143" s="3" t="n"/>
      <c r="B143" s="3" t="n"/>
      <c r="C143" s="3" t="n"/>
      <c r="D143" s="3" t="n"/>
      <c r="E143" s="3" t="n"/>
      <c r="F143" s="3" t="n"/>
      <c r="G143" s="3" t="n"/>
      <c r="H143" s="3" t="n"/>
    </row>
    <row r="144">
      <c r="A144" s="3" t="n"/>
      <c r="B144" s="3" t="n"/>
      <c r="C144" s="3" t="n"/>
      <c r="D144" s="3" t="n"/>
      <c r="E144" s="3" t="n"/>
      <c r="F144" s="3" t="n"/>
      <c r="G144" s="3" t="n"/>
      <c r="H144" s="3" t="n"/>
    </row>
    <row r="145">
      <c r="A145" s="3" t="n"/>
      <c r="B145" s="3" t="n"/>
      <c r="C145" s="3" t="n"/>
      <c r="D145" s="3" t="n"/>
      <c r="E145" s="3" t="n"/>
      <c r="F145" s="3" t="n"/>
      <c r="G145" s="3" t="n"/>
      <c r="H145" s="3" t="n"/>
    </row>
    <row r="146">
      <c r="A146" s="3" t="n"/>
      <c r="B146" s="3" t="n"/>
      <c r="C146" s="3" t="n"/>
      <c r="D146" s="3" t="n"/>
      <c r="E146" s="3" t="n"/>
      <c r="F146" s="3" t="n"/>
      <c r="G146" s="3" t="n"/>
      <c r="H146" s="3" t="n"/>
    </row>
    <row r="147">
      <c r="A147" s="3" t="n"/>
      <c r="B147" s="3" t="n"/>
      <c r="C147" s="3" t="n"/>
      <c r="D147" s="3" t="n"/>
      <c r="E147" s="3" t="n"/>
      <c r="F147" s="3" t="n"/>
      <c r="G147" s="3" t="n"/>
      <c r="H147" s="3" t="n"/>
    </row>
    <row r="148">
      <c r="A148" s="3" t="n"/>
      <c r="B148" s="3" t="n"/>
      <c r="C148" s="3" t="n"/>
      <c r="D148" s="3" t="n"/>
      <c r="E148" s="3" t="n"/>
      <c r="F148" s="3" t="n"/>
      <c r="G148" s="3" t="n"/>
      <c r="H148" s="3" t="n"/>
    </row>
    <row r="149">
      <c r="A149" s="3" t="n"/>
      <c r="B149" s="3" t="n"/>
      <c r="C149" s="3" t="n"/>
      <c r="D149" s="3" t="n"/>
      <c r="E149" s="3" t="n"/>
      <c r="F149" s="3" t="n"/>
      <c r="G149" s="3" t="n"/>
      <c r="H149" s="3" t="n"/>
    </row>
    <row r="150">
      <c r="A150" s="3" t="n"/>
      <c r="B150" s="3" t="n"/>
      <c r="C150" s="3" t="n"/>
      <c r="D150" s="3" t="n"/>
      <c r="E150" s="3" t="n"/>
      <c r="F150" s="3" t="n"/>
      <c r="G150" s="3" t="n"/>
      <c r="H150" s="3" t="n"/>
    </row>
    <row r="151">
      <c r="A151" s="3" t="n"/>
      <c r="B151" s="3" t="n"/>
      <c r="C151" s="3" t="n"/>
      <c r="D151" s="3" t="n"/>
      <c r="E151" s="3" t="n"/>
      <c r="F151" s="3" t="n"/>
      <c r="G151" s="3" t="n"/>
      <c r="H151" s="3" t="n"/>
    </row>
    <row r="152">
      <c r="A152" s="3" t="n"/>
      <c r="B152" s="3" t="n"/>
      <c r="C152" s="3" t="n"/>
      <c r="D152" s="3" t="n"/>
      <c r="E152" s="3" t="n"/>
      <c r="F152" s="3" t="n"/>
      <c r="G152" s="3" t="n"/>
      <c r="H152" s="3" t="n"/>
    </row>
    <row r="153">
      <c r="A153" s="3" t="n"/>
      <c r="B153" s="3" t="n"/>
      <c r="C153" s="3" t="n"/>
      <c r="D153" s="3" t="n"/>
      <c r="E153" s="3" t="n"/>
      <c r="F153" s="3" t="n"/>
      <c r="G153" s="3" t="n"/>
      <c r="H153" s="3" t="n"/>
    </row>
    <row r="154">
      <c r="A154" s="3" t="n"/>
      <c r="B154" s="3" t="n"/>
      <c r="C154" s="3" t="n"/>
      <c r="D154" s="3" t="n"/>
      <c r="E154" s="3" t="n"/>
      <c r="F154" s="3" t="n"/>
      <c r="G154" s="3" t="n"/>
      <c r="H154" s="3" t="n"/>
    </row>
    <row r="155">
      <c r="A155" s="3" t="n"/>
      <c r="B155" s="3" t="n"/>
      <c r="C155" s="3" t="n"/>
      <c r="D155" s="3" t="n"/>
      <c r="E155" s="3" t="n"/>
      <c r="F155" s="3" t="n"/>
      <c r="G155" s="3" t="n"/>
      <c r="H155" s="3" t="n"/>
    </row>
    <row r="156">
      <c r="A156" s="3" t="n"/>
      <c r="B156" s="3" t="n"/>
      <c r="C156" s="3" t="n"/>
      <c r="D156" s="3" t="n"/>
      <c r="E156" s="3" t="n"/>
      <c r="F156" s="3" t="n"/>
      <c r="G156" s="3" t="n"/>
      <c r="H156" s="3" t="n"/>
    </row>
    <row r="157">
      <c r="A157" s="3" t="n"/>
      <c r="B157" s="3" t="n"/>
      <c r="C157" s="3" t="n"/>
      <c r="D157" s="3" t="n"/>
      <c r="E157" s="3" t="n"/>
      <c r="F157" s="3" t="n"/>
      <c r="G157" s="3" t="n"/>
      <c r="H157" s="3" t="n"/>
    </row>
    <row r="158">
      <c r="A158" s="3" t="n"/>
      <c r="B158" s="3" t="n"/>
      <c r="C158" s="3" t="n"/>
      <c r="D158" s="3" t="n"/>
      <c r="E158" s="3" t="n"/>
      <c r="F158" s="3" t="n"/>
      <c r="G158" s="3" t="n"/>
      <c r="H158" s="3" t="n"/>
    </row>
    <row r="159">
      <c r="A159" s="3" t="n"/>
      <c r="B159" s="3" t="n"/>
      <c r="C159" s="3" t="n"/>
      <c r="D159" s="3" t="n"/>
      <c r="E159" s="3" t="n"/>
      <c r="F159" s="3" t="n"/>
      <c r="G159" s="3" t="n"/>
      <c r="H159" s="3" t="n"/>
    </row>
    <row r="160">
      <c r="A160" s="3" t="n"/>
      <c r="B160" s="3" t="n"/>
      <c r="C160" s="3" t="n"/>
      <c r="D160" s="3" t="n"/>
      <c r="E160" s="3" t="n"/>
      <c r="F160" s="3" t="n"/>
      <c r="G160" s="3" t="n"/>
      <c r="H160" s="3" t="n"/>
    </row>
    <row r="161">
      <c r="A161" s="3" t="n"/>
      <c r="B161" s="3" t="n"/>
      <c r="C161" s="3" t="n"/>
      <c r="D161" s="3" t="n"/>
      <c r="E161" s="3" t="n"/>
      <c r="F161" s="3" t="n"/>
      <c r="G161" s="3" t="n"/>
      <c r="H161" s="3" t="n"/>
    </row>
    <row r="162">
      <c r="A162" s="3" t="n"/>
      <c r="B162" s="3" t="n"/>
      <c r="C162" s="3" t="n"/>
      <c r="D162" s="3" t="n"/>
      <c r="E162" s="3" t="n"/>
      <c r="F162" s="3" t="n"/>
      <c r="G162" s="3" t="n"/>
      <c r="H162" s="3" t="n"/>
    </row>
    <row r="163">
      <c r="A163" s="3" t="n"/>
      <c r="B163" s="3" t="n"/>
      <c r="C163" s="3" t="n"/>
      <c r="D163" s="3" t="n"/>
      <c r="E163" s="3" t="n"/>
      <c r="F163" s="3" t="n"/>
      <c r="G163" s="3" t="n"/>
      <c r="H163" s="3" t="n"/>
    </row>
    <row r="164">
      <c r="A164" s="3" t="n"/>
      <c r="B164" s="3" t="n"/>
      <c r="C164" s="3" t="n"/>
      <c r="D164" s="3" t="n"/>
      <c r="E164" s="3" t="n"/>
      <c r="F164" s="3" t="n"/>
      <c r="G164" s="3" t="n"/>
      <c r="H164" s="3" t="n"/>
    </row>
    <row r="165">
      <c r="A165" s="3" t="n"/>
      <c r="B165" s="3" t="n"/>
      <c r="C165" s="3" t="n"/>
      <c r="D165" s="3" t="n"/>
      <c r="E165" s="3" t="n"/>
      <c r="F165" s="3" t="n"/>
      <c r="G165" s="3" t="n"/>
      <c r="H165" s="3" t="n"/>
    </row>
    <row r="166">
      <c r="A166" s="3" t="n"/>
      <c r="B166" s="3" t="n"/>
      <c r="C166" s="3" t="n"/>
      <c r="D166" s="3" t="n"/>
      <c r="E166" s="3" t="n"/>
      <c r="F166" s="3" t="n"/>
      <c r="G166" s="3" t="n"/>
      <c r="H166" s="3" t="n"/>
    </row>
    <row r="167">
      <c r="A167" s="3" t="n"/>
      <c r="B167" s="3" t="n"/>
      <c r="C167" s="3" t="n"/>
      <c r="D167" s="3" t="n"/>
      <c r="E167" s="3" t="n"/>
      <c r="F167" s="3" t="n"/>
      <c r="G167" s="3" t="n"/>
      <c r="H167" s="3" t="n"/>
    </row>
    <row r="168">
      <c r="A168" s="3" t="n"/>
      <c r="B168" s="3" t="n"/>
      <c r="C168" s="3" t="n"/>
      <c r="D168" s="3" t="n"/>
      <c r="E168" s="3" t="n"/>
      <c r="F168" s="3" t="n"/>
      <c r="G168" s="3" t="n"/>
      <c r="H168" s="3" t="n"/>
    </row>
    <row r="169">
      <c r="A169" s="3" t="n"/>
      <c r="B169" s="3" t="n"/>
      <c r="C169" s="3" t="n"/>
      <c r="D169" s="3" t="n"/>
      <c r="E169" s="3" t="n"/>
      <c r="F169" s="3" t="n"/>
      <c r="G169" s="3" t="n"/>
      <c r="H169" s="3" t="n"/>
    </row>
    <row r="170">
      <c r="A170" s="3" t="n"/>
      <c r="B170" s="3" t="n"/>
      <c r="C170" s="3" t="n"/>
      <c r="D170" s="3" t="n"/>
      <c r="E170" s="3" t="n"/>
      <c r="F170" s="3" t="n"/>
      <c r="G170" s="3" t="n"/>
      <c r="H170" s="3" t="n"/>
    </row>
    <row r="171">
      <c r="A171" s="3" t="n"/>
      <c r="B171" s="3" t="n"/>
      <c r="C171" s="3" t="n"/>
      <c r="D171" s="3" t="n"/>
      <c r="E171" s="3" t="n"/>
      <c r="F171" s="3" t="n"/>
      <c r="G171" s="3" t="n"/>
      <c r="H171" s="3" t="n"/>
    </row>
    <row r="172">
      <c r="A172" s="3" t="n"/>
      <c r="B172" s="3" t="n"/>
      <c r="C172" s="3" t="n"/>
      <c r="D172" s="3" t="n"/>
      <c r="E172" s="3" t="n"/>
      <c r="F172" s="3" t="n"/>
      <c r="G172" s="3" t="n"/>
      <c r="H172" s="3" t="n"/>
    </row>
    <row r="173">
      <c r="A173" s="3" t="n"/>
      <c r="B173" s="3" t="n"/>
      <c r="C173" s="3" t="n"/>
      <c r="D173" s="3" t="n"/>
      <c r="E173" s="3" t="n"/>
      <c r="F173" s="3" t="n"/>
      <c r="G173" s="3" t="n"/>
      <c r="H173" s="3" t="n"/>
    </row>
    <row r="174">
      <c r="A174" s="3" t="n"/>
      <c r="B174" s="3" t="n"/>
      <c r="C174" s="3" t="n"/>
      <c r="D174" s="3" t="n"/>
      <c r="E174" s="3" t="n"/>
      <c r="F174" s="3" t="n"/>
      <c r="G174" s="3" t="n"/>
      <c r="H174" s="3" t="n"/>
    </row>
    <row r="175">
      <c r="A175" s="3" t="n"/>
      <c r="B175" s="3" t="n"/>
      <c r="C175" s="3" t="n"/>
      <c r="D175" s="3" t="n"/>
      <c r="E175" s="3" t="n"/>
      <c r="F175" s="3" t="n"/>
      <c r="G175" s="3" t="n"/>
      <c r="H175" s="3" t="n"/>
    </row>
    <row r="176">
      <c r="A176" s="3" t="n"/>
      <c r="B176" s="3" t="n"/>
      <c r="C176" s="3" t="n"/>
      <c r="D176" s="3" t="n"/>
      <c r="E176" s="3" t="n"/>
      <c r="F176" s="3" t="n"/>
      <c r="G176" s="3" t="n"/>
      <c r="H176" s="3" t="n"/>
    </row>
    <row r="177">
      <c r="A177" s="3" t="n"/>
      <c r="B177" s="3" t="n"/>
      <c r="C177" s="3" t="n"/>
      <c r="D177" s="3" t="n"/>
      <c r="E177" s="3" t="n"/>
      <c r="F177" s="3" t="n"/>
      <c r="G177" s="3" t="n"/>
      <c r="H177" s="3" t="n"/>
    </row>
    <row r="178">
      <c r="A178" s="3" t="n"/>
      <c r="B178" s="3" t="n"/>
      <c r="C178" s="3" t="n"/>
      <c r="D178" s="3" t="n"/>
      <c r="E178" s="3" t="n"/>
      <c r="F178" s="3" t="n"/>
      <c r="G178" s="3" t="n"/>
      <c r="H178" s="3" t="n"/>
    </row>
    <row r="179">
      <c r="A179" s="3" t="n"/>
      <c r="B179" s="3" t="n"/>
      <c r="C179" s="3" t="n"/>
      <c r="D179" s="3" t="n"/>
      <c r="E179" s="3" t="n"/>
      <c r="F179" s="3" t="n"/>
      <c r="G179" s="3" t="n"/>
      <c r="H179" s="3" t="n"/>
    </row>
    <row r="180">
      <c r="A180" s="3" t="n"/>
      <c r="B180" s="3" t="n"/>
      <c r="C180" s="3" t="n"/>
      <c r="D180" s="3" t="n"/>
      <c r="E180" s="3" t="n"/>
      <c r="F180" s="3" t="n"/>
      <c r="G180" s="3" t="n"/>
      <c r="H180" s="3" t="n"/>
    </row>
    <row r="181">
      <c r="A181" s="3" t="n"/>
      <c r="B181" s="3" t="n"/>
      <c r="C181" s="3" t="n"/>
      <c r="D181" s="3" t="n"/>
      <c r="E181" s="3" t="n"/>
      <c r="F181" s="3" t="n"/>
      <c r="G181" s="3" t="n"/>
      <c r="H181" s="3" t="n"/>
    </row>
    <row r="182">
      <c r="A182" s="3" t="n"/>
      <c r="B182" s="3" t="n"/>
      <c r="C182" s="3" t="n"/>
      <c r="D182" s="3" t="n"/>
      <c r="E182" s="3" t="n"/>
      <c r="F182" s="3" t="n"/>
      <c r="G182" s="3" t="n"/>
      <c r="H182" s="3" t="n"/>
    </row>
    <row r="183">
      <c r="A183" s="3" t="n"/>
      <c r="B183" s="3" t="n"/>
      <c r="C183" s="3" t="n"/>
      <c r="D183" s="3" t="n"/>
      <c r="E183" s="3" t="n"/>
      <c r="F183" s="3" t="n"/>
      <c r="G183" s="3" t="n"/>
      <c r="H183" s="3" t="n"/>
    </row>
    <row r="184">
      <c r="A184" s="3" t="n"/>
      <c r="B184" s="3" t="n"/>
      <c r="C184" s="3" t="n"/>
      <c r="D184" s="3" t="n"/>
      <c r="E184" s="3" t="n"/>
      <c r="F184" s="3" t="n"/>
      <c r="G184" s="3" t="n"/>
      <c r="H184" s="3" t="n"/>
    </row>
    <row r="185">
      <c r="A185" s="3" t="n"/>
      <c r="B185" s="3" t="n"/>
      <c r="C185" s="3" t="n"/>
      <c r="D185" s="3" t="n"/>
      <c r="E185" s="3" t="n"/>
      <c r="F185" s="3" t="n"/>
      <c r="G185" s="3" t="n"/>
      <c r="H185" s="3" t="n"/>
    </row>
    <row r="186">
      <c r="A186" s="3" t="n"/>
      <c r="B186" s="3" t="n"/>
      <c r="C186" s="3" t="n"/>
      <c r="D186" s="3" t="n"/>
      <c r="E186" s="3" t="n"/>
      <c r="F186" s="3" t="n"/>
      <c r="G186" s="3" t="n"/>
      <c r="H186" s="3" t="n"/>
    </row>
    <row r="187">
      <c r="A187" s="3" t="n"/>
      <c r="B187" s="3" t="n"/>
      <c r="C187" s="3" t="n"/>
      <c r="D187" s="3" t="n"/>
      <c r="E187" s="3" t="n"/>
      <c r="F187" s="3" t="n"/>
      <c r="G187" s="3" t="n"/>
      <c r="H187" s="3" t="n"/>
    </row>
    <row r="188">
      <c r="A188" s="3" t="n"/>
      <c r="B188" s="3" t="n"/>
      <c r="C188" s="3" t="n"/>
      <c r="D188" s="3" t="n"/>
      <c r="E188" s="3" t="n"/>
      <c r="F188" s="3" t="n"/>
      <c r="G188" s="3" t="n"/>
      <c r="H188" s="3" t="n"/>
    </row>
    <row r="189">
      <c r="A189" s="3" t="n"/>
      <c r="B189" s="3" t="n"/>
      <c r="C189" s="3" t="n"/>
      <c r="D189" s="3" t="n"/>
      <c r="E189" s="3" t="n"/>
      <c r="F189" s="3" t="n"/>
      <c r="G189" s="3" t="n"/>
      <c r="H189" s="3" t="n"/>
    </row>
    <row r="190">
      <c r="A190" s="3" t="n"/>
      <c r="B190" s="3" t="n"/>
      <c r="C190" s="3" t="n"/>
      <c r="D190" s="3" t="n"/>
      <c r="E190" s="3" t="n"/>
      <c r="F190" s="3" t="n"/>
      <c r="G190" s="3" t="n"/>
      <c r="H190" s="3" t="n"/>
    </row>
    <row r="191">
      <c r="A191" s="3" t="n"/>
      <c r="B191" s="3" t="n"/>
      <c r="C191" s="3" t="n"/>
      <c r="D191" s="3" t="n"/>
      <c r="E191" s="3" t="n"/>
      <c r="F191" s="3" t="n"/>
      <c r="G191" s="3" t="n"/>
      <c r="H191" s="3" t="n"/>
    </row>
    <row r="192">
      <c r="A192" s="3" t="n"/>
      <c r="B192" s="3" t="n"/>
      <c r="C192" s="3" t="n"/>
      <c r="D192" s="3" t="n"/>
      <c r="E192" s="3" t="n"/>
      <c r="F192" s="3" t="n"/>
      <c r="G192" s="3" t="n"/>
      <c r="H192" s="3" t="n"/>
    </row>
    <row r="193">
      <c r="A193" s="3" t="n"/>
      <c r="B193" s="3" t="n"/>
      <c r="C193" s="3" t="n"/>
      <c r="D193" s="3" t="n"/>
      <c r="E193" s="3" t="n"/>
      <c r="F193" s="3" t="n"/>
      <c r="G193" s="3" t="n"/>
      <c r="H193" s="3" t="n"/>
    </row>
    <row r="194">
      <c r="A194" s="3" t="n"/>
      <c r="B194" s="3" t="n"/>
      <c r="C194" s="3" t="n"/>
      <c r="D194" s="3" t="n"/>
      <c r="E194" s="3" t="n"/>
      <c r="F194" s="3" t="n"/>
      <c r="G194" s="3" t="n"/>
      <c r="H194" s="3" t="n"/>
    </row>
    <row r="195">
      <c r="A195" s="3" t="n"/>
      <c r="B195" s="3" t="n"/>
      <c r="C195" s="3" t="n"/>
      <c r="D195" s="3" t="n"/>
      <c r="E195" s="3" t="n"/>
      <c r="F195" s="3" t="n"/>
      <c r="G195" s="3" t="n"/>
      <c r="H195" s="3" t="n"/>
    </row>
    <row r="196">
      <c r="A196" s="3" t="n"/>
      <c r="B196" s="3" t="n"/>
      <c r="C196" s="3" t="n"/>
      <c r="D196" s="3" t="n"/>
      <c r="E196" s="3" t="n"/>
      <c r="F196" s="3" t="n"/>
      <c r="G196" s="3" t="n"/>
      <c r="H196" s="3" t="n"/>
    </row>
    <row r="197">
      <c r="A197" s="3" t="n"/>
      <c r="B197" s="3" t="n"/>
      <c r="C197" s="3" t="n"/>
      <c r="D197" s="3" t="n"/>
      <c r="E197" s="3" t="n"/>
      <c r="F197" s="3" t="n"/>
      <c r="G197" s="3" t="n"/>
      <c r="H197" s="3" t="n"/>
    </row>
    <row r="198">
      <c r="A198" s="3" t="n"/>
      <c r="B198" s="3" t="n"/>
      <c r="C198" s="3" t="n"/>
      <c r="D198" s="3" t="n"/>
      <c r="E198" s="3" t="n"/>
      <c r="F198" s="3" t="n"/>
      <c r="G198" s="3" t="n"/>
      <c r="H198" s="3" t="n"/>
    </row>
    <row r="199">
      <c r="A199" s="3" t="n"/>
      <c r="B199" s="3" t="n"/>
      <c r="C199" s="3" t="n"/>
      <c r="D199" s="3" t="n"/>
      <c r="E199" s="3" t="n"/>
      <c r="F199" s="3" t="n"/>
      <c r="G199" s="3" t="n"/>
      <c r="H199" s="3" t="n"/>
    </row>
    <row r="200">
      <c r="A200" s="3" t="n"/>
      <c r="B200" s="3" t="n"/>
      <c r="C200" s="3" t="n"/>
      <c r="D200" s="3" t="n"/>
      <c r="E200" s="3" t="n"/>
      <c r="F200" s="3" t="n"/>
      <c r="G200" s="3" t="n"/>
      <c r="H200" s="3" t="n"/>
    </row>
    <row r="201">
      <c r="A201" s="3" t="n"/>
      <c r="B201" s="3" t="n"/>
      <c r="C201" s="3" t="n"/>
      <c r="D201" s="3" t="n"/>
      <c r="E201" s="3" t="n"/>
      <c r="F201" s="3" t="n"/>
      <c r="G201" s="3" t="n"/>
      <c r="H201" s="3" t="n"/>
    </row>
    <row r="202">
      <c r="A202" s="3" t="n"/>
      <c r="B202" s="3" t="n"/>
      <c r="C202" s="3" t="n"/>
      <c r="D202" s="3" t="n"/>
      <c r="E202" s="3" t="n"/>
      <c r="F202" s="3" t="n"/>
      <c r="G202" s="3" t="n"/>
      <c r="H202" s="3" t="n"/>
    </row>
    <row r="203">
      <c r="A203" s="3" t="n"/>
      <c r="B203" s="3" t="n"/>
      <c r="C203" s="3" t="n"/>
      <c r="D203" s="3" t="n"/>
      <c r="E203" s="3" t="n"/>
      <c r="F203" s="3" t="n"/>
      <c r="G203" s="3" t="n"/>
      <c r="H203" s="3" t="n"/>
    </row>
    <row r="204">
      <c r="A204" s="3" t="n"/>
      <c r="B204" s="3" t="n"/>
      <c r="C204" s="3" t="n"/>
      <c r="D204" s="3" t="n"/>
      <c r="E204" s="3" t="n"/>
      <c r="F204" s="3" t="n"/>
      <c r="G204" s="3" t="n"/>
      <c r="H204" s="3" t="n"/>
    </row>
    <row r="205">
      <c r="A205" s="3" t="n"/>
      <c r="B205" s="3" t="n"/>
      <c r="C205" s="3" t="n"/>
      <c r="D205" s="3" t="n"/>
      <c r="E205" s="3" t="n"/>
      <c r="F205" s="3" t="n"/>
      <c r="G205" s="3" t="n"/>
      <c r="H205" s="3" t="n"/>
    </row>
    <row r="206">
      <c r="A206" s="3" t="n"/>
      <c r="B206" s="3" t="n"/>
      <c r="C206" s="3" t="n"/>
      <c r="D206" s="3" t="n"/>
      <c r="E206" s="3" t="n"/>
      <c r="F206" s="3" t="n"/>
      <c r="G206" s="3" t="n"/>
      <c r="H206" s="3" t="n"/>
    </row>
    <row r="207">
      <c r="A207" s="3" t="n"/>
      <c r="B207" s="3" t="n"/>
      <c r="C207" s="3" t="n"/>
      <c r="D207" s="3" t="n"/>
      <c r="E207" s="3" t="n"/>
      <c r="F207" s="3" t="n"/>
      <c r="G207" s="3" t="n"/>
      <c r="H207" s="3" t="n"/>
    </row>
    <row r="208">
      <c r="A208" s="3" t="n"/>
      <c r="B208" s="3" t="n"/>
      <c r="C208" s="3" t="n"/>
      <c r="D208" s="3" t="n"/>
      <c r="E208" s="3" t="n"/>
      <c r="F208" s="3" t="n"/>
      <c r="G208" s="3" t="n"/>
      <c r="H208" s="3" t="n"/>
    </row>
    <row r="209">
      <c r="A209" s="3" t="n"/>
      <c r="B209" s="3" t="n"/>
      <c r="C209" s="3" t="n"/>
      <c r="D209" s="3" t="n"/>
      <c r="E209" s="3" t="n"/>
      <c r="F209" s="3" t="n"/>
      <c r="G209" s="3" t="n"/>
      <c r="H209" s="3" t="n"/>
    </row>
    <row r="210">
      <c r="A210" s="3" t="n"/>
      <c r="B210" s="3" t="n"/>
      <c r="C210" s="3" t="n"/>
      <c r="D210" s="3" t="n"/>
      <c r="E210" s="3" t="n"/>
      <c r="F210" s="3" t="n"/>
      <c r="G210" s="3" t="n"/>
      <c r="H210" s="3" t="n"/>
    </row>
    <row r="211">
      <c r="A211" s="3" t="n"/>
      <c r="B211" s="3" t="n"/>
      <c r="C211" s="3" t="n"/>
      <c r="D211" s="3" t="n"/>
      <c r="E211" s="3" t="n"/>
      <c r="F211" s="3" t="n"/>
      <c r="G211" s="3" t="n"/>
      <c r="H211" s="3" t="n"/>
    </row>
    <row r="212">
      <c r="A212" s="3" t="n"/>
      <c r="B212" s="3" t="n"/>
      <c r="C212" s="3" t="n"/>
      <c r="D212" s="3" t="n"/>
      <c r="E212" s="3" t="n"/>
      <c r="F212" s="3" t="n"/>
      <c r="G212" s="3" t="n"/>
      <c r="H212" s="3" t="n"/>
    </row>
    <row r="213">
      <c r="A213" s="3" t="n"/>
      <c r="B213" s="3" t="n"/>
      <c r="C213" s="3" t="n"/>
      <c r="D213" s="3" t="n"/>
      <c r="E213" s="3" t="n"/>
      <c r="F213" s="3" t="n"/>
      <c r="G213" s="3" t="n"/>
      <c r="H213" s="3" t="n"/>
    </row>
    <row r="214">
      <c r="A214" s="3" t="n"/>
      <c r="B214" s="3" t="n"/>
      <c r="C214" s="3" t="n"/>
      <c r="D214" s="3" t="n"/>
      <c r="E214" s="3" t="n"/>
      <c r="F214" s="3" t="n"/>
      <c r="G214" s="3" t="n"/>
      <c r="H214" s="3" t="n"/>
    </row>
    <row r="215">
      <c r="A215" s="3" t="n"/>
      <c r="B215" s="3" t="n"/>
      <c r="C215" s="3" t="n"/>
      <c r="D215" s="3" t="n"/>
      <c r="E215" s="3" t="n"/>
      <c r="F215" s="3" t="n"/>
      <c r="G215" s="3" t="n"/>
      <c r="H215" s="3" t="n"/>
    </row>
    <row r="216">
      <c r="A216" s="3" t="n"/>
      <c r="B216" s="3" t="n"/>
      <c r="C216" s="3" t="n"/>
      <c r="D216" s="3" t="n"/>
      <c r="E216" s="3" t="n"/>
      <c r="F216" s="3" t="n"/>
      <c r="G216" s="3" t="n"/>
      <c r="H216" s="3" t="n"/>
    </row>
    <row r="217">
      <c r="A217" s="3" t="n"/>
      <c r="B217" s="3" t="n"/>
      <c r="C217" s="3" t="n"/>
      <c r="D217" s="3" t="n"/>
      <c r="E217" s="3" t="n"/>
      <c r="F217" s="3" t="n"/>
      <c r="G217" s="3" t="n"/>
      <c r="H217" s="3" t="n"/>
    </row>
    <row r="218">
      <c r="A218" s="3" t="n"/>
      <c r="B218" s="3" t="n"/>
      <c r="C218" s="3" t="n"/>
      <c r="D218" s="3" t="n"/>
      <c r="E218" s="3" t="n"/>
      <c r="F218" s="3" t="n"/>
      <c r="G218" s="3" t="n"/>
      <c r="H218" s="3" t="n"/>
    </row>
    <row r="219">
      <c r="A219" s="3" t="n"/>
      <c r="B219" s="3" t="n"/>
      <c r="C219" s="3" t="n"/>
      <c r="D219" s="3" t="n"/>
      <c r="E219" s="3" t="n"/>
      <c r="F219" s="3" t="n"/>
      <c r="G219" s="3" t="n"/>
      <c r="H219" s="3" t="n"/>
    </row>
    <row r="220">
      <c r="A220" s="3" t="n"/>
      <c r="B220" s="3" t="n"/>
      <c r="C220" s="3" t="n"/>
      <c r="D220" s="3" t="n"/>
      <c r="E220" s="3" t="n"/>
      <c r="F220" s="3" t="n"/>
      <c r="G220" s="3" t="n"/>
      <c r="H220" s="3" t="n"/>
    </row>
    <row r="221">
      <c r="A221" s="3" t="n"/>
      <c r="B221" s="3" t="n"/>
      <c r="C221" s="3" t="n"/>
      <c r="D221" s="3" t="n"/>
      <c r="E221" s="3" t="n"/>
      <c r="F221" s="3" t="n"/>
      <c r="G221" s="3" t="n"/>
      <c r="H221" s="3" t="n"/>
    </row>
    <row r="222">
      <c r="A222" s="3" t="n"/>
      <c r="B222" s="3" t="n"/>
      <c r="C222" s="3" t="n"/>
      <c r="D222" s="3" t="n"/>
      <c r="E222" s="3" t="n"/>
      <c r="F222" s="3" t="n"/>
      <c r="G222" s="3" t="n"/>
      <c r="H222" s="3" t="n"/>
    </row>
    <row r="223">
      <c r="A223" s="3" t="n"/>
      <c r="B223" s="3" t="n"/>
      <c r="C223" s="3" t="n"/>
      <c r="D223" s="3" t="n"/>
      <c r="E223" s="3" t="n"/>
      <c r="F223" s="3" t="n"/>
      <c r="G223" s="3" t="n"/>
      <c r="H223" s="3" t="n"/>
    </row>
    <row r="224">
      <c r="A224" s="3" t="n"/>
      <c r="B224" s="3" t="n"/>
      <c r="C224" s="3" t="n"/>
      <c r="D224" s="3" t="n"/>
      <c r="E224" s="3" t="n"/>
      <c r="F224" s="3" t="n"/>
      <c r="G224" s="3" t="n"/>
      <c r="H224" s="3" t="n"/>
    </row>
    <row r="225">
      <c r="A225" s="3" t="n"/>
      <c r="B225" s="3" t="n"/>
      <c r="C225" s="3" t="n"/>
      <c r="D225" s="3" t="n"/>
      <c r="E225" s="3" t="n"/>
      <c r="F225" s="3" t="n"/>
      <c r="G225" s="3" t="n"/>
      <c r="H225" s="3" t="n"/>
    </row>
    <row r="226">
      <c r="A226" s="3" t="n"/>
      <c r="B226" s="3" t="n"/>
      <c r="C226" s="3" t="n"/>
      <c r="D226" s="3" t="n"/>
      <c r="E226" s="3" t="n"/>
      <c r="F226" s="3" t="n"/>
      <c r="G226" s="3" t="n"/>
      <c r="H226" s="3" t="n"/>
    </row>
    <row r="227">
      <c r="A227" s="3" t="n"/>
      <c r="B227" s="3" t="n"/>
      <c r="C227" s="3" t="n"/>
      <c r="D227" s="3" t="n"/>
      <c r="E227" s="3" t="n"/>
      <c r="F227" s="3" t="n"/>
      <c r="G227" s="3" t="n"/>
      <c r="H227" s="3" t="n"/>
    </row>
    <row r="228">
      <c r="A228" s="3" t="n"/>
      <c r="B228" s="3" t="n"/>
      <c r="C228" s="3" t="n"/>
      <c r="D228" s="3" t="n"/>
      <c r="E228" s="3" t="n"/>
      <c r="F228" s="3" t="n"/>
      <c r="G228" s="3" t="n"/>
      <c r="H228" s="3" t="n"/>
    </row>
    <row r="229">
      <c r="A229" s="3" t="n"/>
      <c r="B229" s="3" t="n"/>
      <c r="C229" s="3" t="n"/>
      <c r="D229" s="3" t="n"/>
      <c r="E229" s="3" t="n"/>
      <c r="F229" s="3" t="n"/>
      <c r="G229" s="3" t="n"/>
      <c r="H229" s="3" t="n"/>
    </row>
    <row r="230">
      <c r="A230" s="3" t="n"/>
      <c r="B230" s="3" t="n"/>
      <c r="C230" s="3" t="n"/>
      <c r="D230" s="3" t="n"/>
      <c r="E230" s="3" t="n"/>
      <c r="F230" s="3" t="n"/>
      <c r="G230" s="3" t="n"/>
      <c r="H230" s="3" t="n"/>
    </row>
    <row r="231">
      <c r="A231" s="3" t="n"/>
      <c r="B231" s="3" t="n"/>
      <c r="C231" s="3" t="n"/>
      <c r="D231" s="3" t="n"/>
      <c r="E231" s="3" t="n"/>
      <c r="F231" s="3" t="n"/>
      <c r="G231" s="3" t="n"/>
      <c r="H231" s="3" t="n"/>
    </row>
    <row r="232">
      <c r="A232" s="3" t="n"/>
      <c r="B232" s="3" t="n"/>
      <c r="C232" s="3" t="n"/>
      <c r="D232" s="3" t="n"/>
      <c r="E232" s="3" t="n"/>
      <c r="F232" s="3" t="n"/>
      <c r="G232" s="3" t="n"/>
      <c r="H232" s="3" t="n"/>
    </row>
    <row r="233">
      <c r="A233" s="3" t="n"/>
      <c r="B233" s="3" t="n"/>
      <c r="C233" s="3" t="n"/>
      <c r="D233" s="3" t="n"/>
      <c r="E233" s="3" t="n"/>
      <c r="F233" s="3" t="n"/>
      <c r="G233" s="3" t="n"/>
      <c r="H233" s="3" t="n"/>
    </row>
    <row r="234">
      <c r="A234" s="3" t="n"/>
      <c r="B234" s="3" t="n"/>
      <c r="C234" s="3" t="n"/>
      <c r="D234" s="3" t="n"/>
      <c r="E234" s="3" t="n"/>
      <c r="F234" s="3" t="n"/>
      <c r="G234" s="3" t="n"/>
      <c r="H234" s="3" t="n"/>
    </row>
    <row r="235">
      <c r="A235" s="3" t="n"/>
      <c r="B235" s="3" t="n"/>
      <c r="C235" s="3" t="n"/>
      <c r="D235" s="3" t="n"/>
      <c r="E235" s="3" t="n"/>
      <c r="F235" s="3" t="n"/>
      <c r="G235" s="3" t="n"/>
      <c r="H235" s="3" t="n"/>
    </row>
    <row r="236">
      <c r="A236" s="3" t="n"/>
      <c r="B236" s="3" t="n"/>
      <c r="C236" s="3" t="n"/>
      <c r="D236" s="3" t="n"/>
      <c r="E236" s="3" t="n"/>
      <c r="F236" s="3" t="n"/>
      <c r="G236" s="3" t="n"/>
      <c r="H236" s="3" t="n"/>
    </row>
    <row r="237">
      <c r="A237" s="3" t="n"/>
      <c r="B237" s="3" t="n"/>
      <c r="C237" s="3" t="n"/>
      <c r="D237" s="3" t="n"/>
      <c r="E237" s="3" t="n"/>
      <c r="F237" s="3" t="n"/>
      <c r="G237" s="3" t="n"/>
      <c r="H237" s="3" t="n"/>
    </row>
    <row r="238">
      <c r="A238" s="3" t="n"/>
      <c r="B238" s="3" t="n"/>
      <c r="C238" s="3" t="n"/>
      <c r="D238" s="3" t="n"/>
      <c r="E238" s="3" t="n"/>
      <c r="F238" s="3" t="n"/>
      <c r="G238" s="3" t="n"/>
      <c r="H238" s="3" t="n"/>
    </row>
    <row r="239">
      <c r="A239" s="3" t="n"/>
      <c r="B239" s="3" t="n"/>
      <c r="C239" s="3" t="n"/>
      <c r="D239" s="3" t="n"/>
      <c r="E239" s="3" t="n"/>
      <c r="F239" s="3" t="n"/>
      <c r="G239" s="3" t="n"/>
      <c r="H239" s="3" t="n"/>
    </row>
    <row r="240">
      <c r="A240" s="3" t="n"/>
      <c r="B240" s="3" t="n"/>
      <c r="C240" s="3" t="n"/>
      <c r="D240" s="3" t="n"/>
      <c r="E240" s="3" t="n"/>
      <c r="F240" s="3" t="n"/>
      <c r="G240" s="3" t="n"/>
      <c r="H240" s="3" t="n"/>
    </row>
    <row r="241">
      <c r="A241" s="3" t="n"/>
      <c r="B241" s="3" t="n"/>
      <c r="C241" s="3" t="n"/>
      <c r="D241" s="3" t="n"/>
      <c r="E241" s="3" t="n"/>
      <c r="F241" s="3" t="n"/>
      <c r="G241" s="3" t="n"/>
      <c r="H241" s="3" t="n"/>
    </row>
    <row r="242">
      <c r="A242" s="3" t="n"/>
      <c r="B242" s="3" t="n"/>
      <c r="C242" s="3" t="n"/>
      <c r="D242" s="3" t="n"/>
      <c r="E242" s="3" t="n"/>
      <c r="F242" s="3" t="n"/>
      <c r="G242" s="3" t="n"/>
      <c r="H242" s="3" t="n"/>
    </row>
    <row r="243">
      <c r="A243" s="3" t="n"/>
      <c r="B243" s="3" t="n"/>
      <c r="C243" s="3" t="n"/>
      <c r="D243" s="3" t="n"/>
      <c r="E243" s="3" t="n"/>
      <c r="F243" s="3" t="n"/>
      <c r="G243" s="3" t="n"/>
      <c r="H243" s="3" t="n"/>
    </row>
    <row r="244">
      <c r="A244" s="3" t="n"/>
      <c r="B244" s="3" t="n"/>
      <c r="C244" s="3" t="n"/>
      <c r="D244" s="3" t="n"/>
      <c r="E244" s="3" t="n"/>
      <c r="F244" s="3" t="n"/>
      <c r="G244" s="3" t="n"/>
      <c r="H244" s="3" t="n"/>
    </row>
    <row r="245">
      <c r="A245" s="3" t="n"/>
      <c r="B245" s="3" t="n"/>
      <c r="C245" s="3" t="n"/>
      <c r="D245" s="3" t="n"/>
      <c r="E245" s="3" t="n"/>
      <c r="F245" s="3" t="n"/>
      <c r="G245" s="3" t="n"/>
      <c r="H245" s="3" t="n"/>
    </row>
    <row r="246">
      <c r="A246" s="3" t="n"/>
      <c r="B246" s="3" t="n"/>
      <c r="C246" s="3" t="n"/>
      <c r="D246" s="3" t="n"/>
      <c r="E246" s="3" t="n"/>
      <c r="F246" s="3" t="n"/>
      <c r="G246" s="3" t="n"/>
      <c r="H246" s="3" t="n"/>
    </row>
    <row r="247">
      <c r="A247" s="3" t="n"/>
      <c r="B247" s="3" t="n"/>
      <c r="C247" s="3" t="n"/>
      <c r="D247" s="3" t="n"/>
      <c r="E247" s="3" t="n"/>
      <c r="F247" s="3" t="n"/>
      <c r="G247" s="3" t="n"/>
      <c r="H247" s="3" t="n"/>
    </row>
    <row r="248">
      <c r="A248" s="3" t="n"/>
      <c r="B248" s="3" t="n"/>
      <c r="C248" s="3" t="n"/>
      <c r="D248" s="3" t="n"/>
      <c r="E248" s="3" t="n"/>
      <c r="F248" s="3" t="n"/>
      <c r="G248" s="3" t="n"/>
      <c r="H248" s="3" t="n"/>
    </row>
    <row r="249">
      <c r="A249" s="3" t="n"/>
      <c r="B249" s="3" t="n"/>
      <c r="C249" s="3" t="n"/>
      <c r="D249" s="3" t="n"/>
      <c r="E249" s="3" t="n"/>
      <c r="F249" s="3" t="n"/>
      <c r="G249" s="3" t="n"/>
      <c r="H249" s="3" t="n"/>
    </row>
    <row r="250">
      <c r="A250" s="3" t="n"/>
      <c r="B250" s="3" t="n"/>
      <c r="C250" s="3" t="n"/>
      <c r="D250" s="3" t="n"/>
      <c r="E250" s="3" t="n"/>
      <c r="F250" s="3" t="n"/>
      <c r="G250" s="3" t="n"/>
      <c r="H250" s="3" t="n"/>
    </row>
    <row r="251">
      <c r="A251" s="3" t="n"/>
      <c r="B251" s="3" t="n"/>
      <c r="C251" s="3" t="n"/>
      <c r="D251" s="3" t="n"/>
      <c r="E251" s="3" t="n"/>
      <c r="F251" s="3" t="n"/>
      <c r="G251" s="3" t="n"/>
      <c r="H251" s="3" t="n"/>
    </row>
    <row r="252">
      <c r="A252" s="3" t="n"/>
      <c r="B252" s="3" t="n"/>
      <c r="C252" s="3" t="n"/>
      <c r="D252" s="3" t="n"/>
      <c r="E252" s="3" t="n"/>
      <c r="F252" s="3" t="n"/>
      <c r="G252" s="3" t="n"/>
      <c r="H252" s="3" t="n"/>
    </row>
    <row r="253">
      <c r="A253" s="3" t="n"/>
      <c r="B253" s="3" t="n"/>
      <c r="C253" s="3" t="n"/>
      <c r="D253" s="3" t="n"/>
      <c r="E253" s="3" t="n"/>
      <c r="F253" s="3" t="n"/>
      <c r="G253" s="3" t="n"/>
      <c r="H253" s="3" t="n"/>
    </row>
    <row r="254">
      <c r="A254" s="3" t="n"/>
      <c r="B254" s="3" t="n"/>
      <c r="C254" s="3" t="n"/>
      <c r="D254" s="3" t="n"/>
      <c r="E254" s="3" t="n"/>
      <c r="F254" s="3" t="n"/>
      <c r="G254" s="3" t="n"/>
      <c r="H254" s="3" t="n"/>
    </row>
    <row r="255">
      <c r="A255" s="3" t="n"/>
      <c r="B255" s="3" t="n"/>
      <c r="C255" s="3" t="n"/>
      <c r="D255" s="3" t="n"/>
      <c r="E255" s="3" t="n"/>
      <c r="F255" s="3" t="n"/>
      <c r="G255" s="3" t="n"/>
      <c r="H255" s="3" t="n"/>
    </row>
    <row r="256">
      <c r="A256" s="3" t="n"/>
      <c r="B256" s="3" t="n"/>
      <c r="C256" s="3" t="n"/>
      <c r="D256" s="3" t="n"/>
      <c r="E256" s="3" t="n"/>
      <c r="F256" s="3" t="n"/>
      <c r="G256" s="3" t="n"/>
      <c r="H256" s="3" t="n"/>
    </row>
    <row r="257">
      <c r="A257" s="3" t="n"/>
      <c r="B257" s="3" t="n"/>
      <c r="C257" s="3" t="n"/>
      <c r="D257" s="3" t="n"/>
      <c r="E257" s="3" t="n"/>
      <c r="F257" s="3" t="n"/>
      <c r="G257" s="3" t="n"/>
      <c r="H257" s="3" t="n"/>
    </row>
    <row r="258">
      <c r="A258" s="3" t="n"/>
      <c r="B258" s="3" t="n"/>
      <c r="C258" s="3" t="n"/>
      <c r="D258" s="3" t="n"/>
      <c r="E258" s="3" t="n"/>
      <c r="F258" s="3" t="n"/>
      <c r="G258" s="3" t="n"/>
      <c r="H258" s="3" t="n"/>
    </row>
    <row r="259">
      <c r="A259" s="3" t="n"/>
      <c r="B259" s="3" t="n"/>
      <c r="C259" s="3" t="n"/>
      <c r="D259" s="3" t="n"/>
      <c r="E259" s="3" t="n"/>
      <c r="F259" s="3" t="n"/>
      <c r="G259" s="3" t="n"/>
      <c r="H259" s="3" t="n"/>
    </row>
    <row r="260">
      <c r="A260" s="3" t="n"/>
      <c r="B260" s="3" t="n"/>
      <c r="C260" s="3" t="n"/>
      <c r="D260" s="3" t="n"/>
      <c r="E260" s="3" t="n"/>
      <c r="F260" s="3" t="n"/>
      <c r="G260" s="3" t="n"/>
      <c r="H260" s="3" t="n"/>
    </row>
    <row r="261">
      <c r="A261" s="3" t="n"/>
      <c r="B261" s="3" t="n"/>
      <c r="C261" s="3" t="n"/>
      <c r="D261" s="3" t="n"/>
      <c r="E261" s="3" t="n"/>
      <c r="F261" s="3" t="n"/>
      <c r="G261" s="3" t="n"/>
      <c r="H261" s="3" t="n"/>
    </row>
    <row r="262">
      <c r="A262" s="3" t="n"/>
      <c r="B262" s="3" t="n"/>
      <c r="C262" s="3" t="n"/>
      <c r="D262" s="3" t="n"/>
      <c r="E262" s="3" t="n"/>
      <c r="F262" s="3" t="n"/>
      <c r="G262" s="3" t="n"/>
      <c r="H262" s="3" t="n"/>
    </row>
    <row r="263">
      <c r="A263" s="3" t="n"/>
      <c r="B263" s="3" t="n"/>
      <c r="C263" s="3" t="n"/>
      <c r="D263" s="3" t="n"/>
      <c r="E263" s="3" t="n"/>
      <c r="F263" s="3" t="n"/>
      <c r="G263" s="3" t="n"/>
      <c r="H263" s="3" t="n"/>
    </row>
    <row r="264">
      <c r="A264" s="3" t="n"/>
      <c r="B264" s="3" t="n"/>
      <c r="C264" s="3" t="n"/>
      <c r="D264" s="3" t="n"/>
      <c r="E264" s="3" t="n"/>
      <c r="F264" s="3" t="n"/>
      <c r="G264" s="3" t="n"/>
      <c r="H264" s="3" t="n"/>
    </row>
    <row r="265">
      <c r="A265" s="3" t="n"/>
      <c r="B265" s="3" t="n"/>
      <c r="C265" s="3" t="n"/>
      <c r="D265" s="3" t="n"/>
      <c r="E265" s="3" t="n"/>
      <c r="F265" s="3" t="n"/>
      <c r="G265" s="3" t="n"/>
      <c r="H265" s="3" t="n"/>
    </row>
    <row r="266">
      <c r="A266" s="3" t="n"/>
      <c r="B266" s="3" t="n"/>
      <c r="C266" s="3" t="n"/>
      <c r="D266" s="3" t="n"/>
      <c r="E266" s="3" t="n"/>
      <c r="F266" s="3" t="n"/>
      <c r="G266" s="3" t="n"/>
      <c r="H266" s="3" t="n"/>
    </row>
    <row r="267">
      <c r="A267" s="3" t="n"/>
      <c r="B267" s="3" t="n"/>
      <c r="C267" s="3" t="n"/>
      <c r="D267" s="3" t="n"/>
      <c r="E267" s="3" t="n"/>
      <c r="F267" s="3" t="n"/>
      <c r="G267" s="3" t="n"/>
      <c r="H267" s="3" t="n"/>
    </row>
    <row r="268">
      <c r="A268" s="3" t="n"/>
      <c r="B268" s="3" t="n"/>
      <c r="C268" s="3" t="n"/>
      <c r="D268" s="3" t="n"/>
      <c r="E268" s="3" t="n"/>
      <c r="F268" s="3" t="n"/>
      <c r="G268" s="3" t="n"/>
      <c r="H268" s="3" t="n"/>
    </row>
    <row r="269">
      <c r="A269" s="3" t="n"/>
      <c r="B269" s="3" t="n"/>
      <c r="C269" s="3" t="n"/>
      <c r="D269" s="3" t="n"/>
      <c r="E269" s="3" t="n"/>
      <c r="F269" s="3" t="n"/>
      <c r="G269" s="3" t="n"/>
      <c r="H269" s="3" t="n"/>
    </row>
    <row r="270">
      <c r="A270" s="3" t="n"/>
      <c r="B270" s="3" t="n"/>
      <c r="C270" s="3" t="n"/>
      <c r="D270" s="3" t="n"/>
      <c r="E270" s="3" t="n"/>
      <c r="F270" s="3" t="n"/>
      <c r="G270" s="3" t="n"/>
      <c r="H270" s="3" t="n"/>
    </row>
    <row r="271">
      <c r="A271" s="3" t="n"/>
      <c r="B271" s="3" t="n"/>
      <c r="C271" s="3" t="n"/>
      <c r="D271" s="3" t="n"/>
      <c r="E271" s="3" t="n"/>
      <c r="F271" s="3" t="n"/>
      <c r="G271" s="3" t="n"/>
      <c r="H271" s="3" t="n"/>
    </row>
    <row r="272">
      <c r="A272" s="3" t="n"/>
      <c r="B272" s="3" t="n"/>
      <c r="C272" s="3" t="n"/>
      <c r="D272" s="3" t="n"/>
      <c r="E272" s="3" t="n"/>
      <c r="F272" s="3" t="n"/>
      <c r="G272" s="3" t="n"/>
      <c r="H272" s="3" t="n"/>
    </row>
    <row r="273">
      <c r="A273" s="3" t="n"/>
      <c r="B273" s="3" t="n"/>
      <c r="C273" s="3" t="n"/>
      <c r="D273" s="3" t="n"/>
      <c r="E273" s="3" t="n"/>
      <c r="F273" s="3" t="n"/>
      <c r="G273" s="3" t="n"/>
      <c r="H273" s="3" t="n"/>
    </row>
    <row r="274">
      <c r="A274" s="3" t="n"/>
      <c r="B274" s="3" t="n"/>
      <c r="C274" s="3" t="n"/>
      <c r="D274" s="3" t="n"/>
      <c r="E274" s="3" t="n"/>
      <c r="F274" s="3" t="n"/>
      <c r="G274" s="3" t="n"/>
      <c r="H274" s="3" t="n"/>
    </row>
    <row r="275">
      <c r="A275" s="3" t="n"/>
      <c r="B275" s="3" t="n"/>
      <c r="C275" s="3" t="n"/>
      <c r="D275" s="3" t="n"/>
      <c r="E275" s="3" t="n"/>
      <c r="F275" s="3" t="n"/>
      <c r="G275" s="3" t="n"/>
      <c r="H275" s="3" t="n"/>
    </row>
    <row r="276">
      <c r="A276" s="3" t="n"/>
      <c r="B276" s="3" t="n"/>
      <c r="C276" s="3" t="n"/>
      <c r="D276" s="3" t="n"/>
      <c r="E276" s="3" t="n"/>
      <c r="F276" s="3" t="n"/>
      <c r="G276" s="3" t="n"/>
      <c r="H276" s="3" t="n"/>
    </row>
    <row r="277">
      <c r="A277" s="3" t="n"/>
      <c r="B277" s="3" t="n"/>
      <c r="C277" s="3" t="n"/>
      <c r="D277" s="3" t="n"/>
      <c r="E277" s="3" t="n"/>
      <c r="F277" s="3" t="n"/>
      <c r="G277" s="3" t="n"/>
      <c r="H277" s="3" t="n"/>
    </row>
    <row r="278">
      <c r="A278" s="3" t="n"/>
      <c r="B278" s="3" t="n"/>
      <c r="C278" s="3" t="n"/>
      <c r="D278" s="3" t="n"/>
      <c r="E278" s="3" t="n"/>
      <c r="F278" s="3" t="n"/>
      <c r="G278" s="3" t="n"/>
      <c r="H278" s="3" t="n"/>
    </row>
    <row r="279">
      <c r="A279" s="3" t="n"/>
      <c r="B279" s="3" t="n"/>
      <c r="C279" s="3" t="n"/>
      <c r="D279" s="3" t="n"/>
      <c r="E279" s="3" t="n"/>
      <c r="F279" s="3" t="n"/>
      <c r="G279" s="3" t="n"/>
      <c r="H279" s="3" t="n"/>
    </row>
    <row r="280">
      <c r="A280" s="3" t="n"/>
      <c r="B280" s="3" t="n"/>
      <c r="C280" s="3" t="n"/>
      <c r="D280" s="3" t="n"/>
      <c r="E280" s="3" t="n"/>
      <c r="F280" s="3" t="n"/>
      <c r="G280" s="3" t="n"/>
      <c r="H280" s="3" t="n"/>
    </row>
    <row r="281">
      <c r="A281" s="3" t="n"/>
      <c r="B281" s="3" t="n"/>
      <c r="C281" s="3" t="n"/>
      <c r="D281" s="3" t="n"/>
      <c r="E281" s="3" t="n"/>
      <c r="F281" s="3" t="n"/>
      <c r="G281" s="3" t="n"/>
      <c r="H281" s="3" t="n"/>
    </row>
    <row r="282">
      <c r="A282" s="3" t="n"/>
      <c r="B282" s="3" t="n"/>
      <c r="C282" s="3" t="n"/>
      <c r="D282" s="3" t="n"/>
      <c r="E282" s="3" t="n"/>
      <c r="F282" s="3" t="n"/>
      <c r="G282" s="3" t="n"/>
      <c r="H282" s="3" t="n"/>
    </row>
    <row r="283">
      <c r="A283" s="3" t="n"/>
      <c r="B283" s="3" t="n"/>
      <c r="C283" s="3" t="n"/>
      <c r="D283" s="3" t="n"/>
      <c r="E283" s="3" t="n"/>
      <c r="F283" s="3" t="n"/>
      <c r="G283" s="3" t="n"/>
      <c r="H283" s="3" t="n"/>
    </row>
    <row r="284">
      <c r="A284" s="3" t="n"/>
      <c r="B284" s="3" t="n"/>
      <c r="C284" s="3" t="n"/>
      <c r="D284" s="3" t="n"/>
      <c r="E284" s="3" t="n"/>
      <c r="F284" s="3" t="n"/>
      <c r="G284" s="3" t="n"/>
      <c r="H284" s="3" t="n"/>
    </row>
    <row r="285">
      <c r="A285" s="3" t="n"/>
      <c r="B285" s="3" t="n"/>
      <c r="C285" s="3" t="n"/>
      <c r="D285" s="3" t="n"/>
      <c r="E285" s="3" t="n"/>
      <c r="F285" s="3" t="n"/>
      <c r="G285" s="3" t="n"/>
      <c r="H285" s="3" t="n"/>
    </row>
    <row r="286">
      <c r="A286" s="3" t="n"/>
      <c r="B286" s="3" t="n"/>
      <c r="C286" s="3" t="n"/>
      <c r="D286" s="3" t="n"/>
      <c r="E286" s="3" t="n"/>
      <c r="F286" s="3" t="n"/>
      <c r="G286" s="3" t="n"/>
      <c r="H286" s="3" t="n"/>
    </row>
    <row r="287">
      <c r="A287" s="3" t="n"/>
      <c r="B287" s="3" t="n"/>
      <c r="C287" s="3" t="n"/>
      <c r="D287" s="3" t="n"/>
      <c r="E287" s="3" t="n"/>
      <c r="F287" s="3" t="n"/>
      <c r="G287" s="3" t="n"/>
      <c r="H287" s="3" t="n"/>
    </row>
    <row r="288">
      <c r="A288" s="3" t="n"/>
      <c r="B288" s="3" t="n"/>
      <c r="C288" s="3" t="n"/>
      <c r="D288" s="3" t="n"/>
      <c r="E288" s="3" t="n"/>
      <c r="F288" s="3" t="n"/>
      <c r="G288" s="3" t="n"/>
      <c r="H288" s="3" t="n"/>
    </row>
    <row r="289">
      <c r="A289" s="3" t="n"/>
      <c r="B289" s="3" t="n"/>
      <c r="C289" s="3" t="n"/>
      <c r="D289" s="3" t="n"/>
      <c r="E289" s="3" t="n"/>
      <c r="F289" s="3" t="n"/>
      <c r="G289" s="3" t="n"/>
      <c r="H289" s="3" t="n"/>
    </row>
    <row r="290">
      <c r="A290" s="3" t="n"/>
      <c r="B290" s="3" t="n"/>
      <c r="C290" s="3" t="n"/>
      <c r="D290" s="3" t="n"/>
      <c r="E290" s="3" t="n"/>
      <c r="F290" s="3" t="n"/>
      <c r="G290" s="3" t="n"/>
      <c r="H290" s="3" t="n"/>
    </row>
    <row r="291">
      <c r="A291" s="3" t="n"/>
      <c r="B291" s="3" t="n"/>
      <c r="C291" s="3" t="n"/>
      <c r="D291" s="3" t="n"/>
      <c r="E291" s="3" t="n"/>
      <c r="F291" s="3" t="n"/>
      <c r="G291" s="3" t="n"/>
      <c r="H291" s="3" t="n"/>
    </row>
    <row r="292">
      <c r="A292" s="3" t="n"/>
      <c r="B292" s="3" t="n"/>
      <c r="C292" s="3" t="n"/>
      <c r="D292" s="3" t="n"/>
      <c r="E292" s="3" t="n"/>
      <c r="F292" s="3" t="n"/>
      <c r="G292" s="3" t="n"/>
      <c r="H292" s="3" t="n"/>
    </row>
    <row r="293">
      <c r="A293" s="3" t="n"/>
      <c r="B293" s="3" t="n"/>
      <c r="C293" s="3" t="n"/>
      <c r="D293" s="3" t="n"/>
      <c r="E293" s="3" t="n"/>
      <c r="F293" s="3" t="n"/>
      <c r="G293" s="3" t="n"/>
      <c r="H293" s="3" t="n"/>
    </row>
    <row r="294">
      <c r="A294" s="3" t="n"/>
      <c r="B294" s="3" t="n"/>
      <c r="C294" s="3" t="n"/>
      <c r="D294" s="3" t="n"/>
      <c r="E294" s="3" t="n"/>
      <c r="F294" s="3" t="n"/>
      <c r="G294" s="3" t="n"/>
      <c r="H294" s="3" t="n"/>
    </row>
    <row r="295">
      <c r="A295" s="3" t="n"/>
      <c r="B295" s="3" t="n"/>
      <c r="C295" s="3" t="n"/>
      <c r="D295" s="3" t="n"/>
      <c r="E295" s="3" t="n"/>
      <c r="F295" s="3" t="n"/>
      <c r="G295" s="3" t="n"/>
      <c r="H295" s="3" t="n"/>
    </row>
    <row r="296">
      <c r="A296" s="3" t="n"/>
      <c r="B296" s="3" t="n"/>
      <c r="C296" s="3" t="n"/>
      <c r="D296" s="3" t="n"/>
      <c r="E296" s="3" t="n"/>
      <c r="F296" s="3" t="n"/>
      <c r="G296" s="3" t="n"/>
      <c r="H296" s="3" t="n"/>
    </row>
    <row r="297">
      <c r="A297" s="3" t="n"/>
      <c r="B297" s="3" t="n"/>
      <c r="C297" s="3" t="n"/>
      <c r="D297" s="3" t="n"/>
      <c r="E297" s="3" t="n"/>
      <c r="F297" s="3" t="n"/>
      <c r="G297" s="3" t="n"/>
      <c r="H297" s="3" t="n"/>
    </row>
    <row r="298">
      <c r="A298" s="3" t="n"/>
      <c r="B298" s="3" t="n"/>
      <c r="C298" s="3" t="n"/>
      <c r="D298" s="3" t="n"/>
      <c r="E298" s="3" t="n"/>
      <c r="F298" s="3" t="n"/>
      <c r="G298" s="3" t="n"/>
      <c r="H298" s="3" t="n"/>
    </row>
    <row r="299">
      <c r="A299" s="3" t="n"/>
      <c r="B299" s="3" t="n"/>
      <c r="C299" s="3" t="n"/>
      <c r="D299" s="3" t="n"/>
      <c r="E299" s="3" t="n"/>
      <c r="F299" s="3" t="n"/>
      <c r="G299" s="3" t="n"/>
      <c r="H299" s="3" t="n"/>
    </row>
    <row r="300">
      <c r="A300" s="3" t="n"/>
      <c r="B300" s="3" t="n"/>
      <c r="C300" s="3" t="n"/>
      <c r="D300" s="3" t="n"/>
      <c r="E300" s="3" t="n"/>
      <c r="F300" s="3" t="n"/>
      <c r="G300" s="3" t="n"/>
      <c r="H300" s="3" t="n"/>
    </row>
    <row r="301">
      <c r="A301" s="3" t="n"/>
      <c r="B301" s="3" t="n"/>
      <c r="C301" s="3" t="n"/>
      <c r="D301" s="3" t="n"/>
      <c r="E301" s="3" t="n"/>
      <c r="F301" s="3" t="n"/>
      <c r="G301" s="3" t="n"/>
      <c r="H301" s="3" t="n"/>
    </row>
    <row r="302">
      <c r="A302" s="3" t="n"/>
      <c r="B302" s="3" t="n"/>
      <c r="C302" s="3" t="n"/>
      <c r="D302" s="3" t="n"/>
      <c r="E302" s="3" t="n"/>
      <c r="F302" s="3" t="n"/>
      <c r="G302" s="3" t="n"/>
      <c r="H302" s="3" t="n"/>
    </row>
    <row r="303">
      <c r="A303" s="3" t="n"/>
      <c r="B303" s="3" t="n"/>
      <c r="C303" s="3" t="n"/>
      <c r="D303" s="3" t="n"/>
      <c r="E303" s="3" t="n"/>
      <c r="F303" s="3" t="n"/>
      <c r="G303" s="3" t="n"/>
      <c r="H303" s="3" t="n"/>
    </row>
    <row r="304">
      <c r="A304" s="3" t="n"/>
      <c r="B304" s="3" t="n"/>
      <c r="C304" s="3" t="n"/>
      <c r="D304" s="3" t="n"/>
      <c r="E304" s="3" t="n"/>
      <c r="F304" s="3" t="n"/>
      <c r="G304" s="3" t="n"/>
      <c r="H304" s="3" t="n"/>
    </row>
    <row r="305">
      <c r="A305" s="3" t="n"/>
      <c r="B305" s="3" t="n"/>
      <c r="C305" s="3" t="n"/>
      <c r="D305" s="3" t="n"/>
      <c r="E305" s="3" t="n"/>
      <c r="F305" s="3" t="n"/>
      <c r="G305" s="3" t="n"/>
      <c r="H305" s="3" t="n"/>
    </row>
    <row r="306">
      <c r="A306" s="3" t="n"/>
      <c r="B306" s="3" t="n"/>
      <c r="C306" s="3" t="n"/>
      <c r="D306" s="3" t="n"/>
      <c r="E306" s="3" t="n"/>
      <c r="F306" s="3" t="n"/>
      <c r="G306" s="3" t="n"/>
      <c r="H306" s="3" t="n"/>
    </row>
    <row r="307">
      <c r="A307" s="3" t="n"/>
      <c r="B307" s="3" t="n"/>
      <c r="C307" s="3" t="n"/>
      <c r="D307" s="3" t="n"/>
      <c r="E307" s="3" t="n"/>
      <c r="F307" s="3" t="n"/>
      <c r="G307" s="3" t="n"/>
      <c r="H307" s="3" t="n"/>
    </row>
    <row r="308">
      <c r="A308" s="3" t="n"/>
      <c r="B308" s="3" t="n"/>
      <c r="C308" s="3" t="n"/>
      <c r="D308" s="3" t="n"/>
      <c r="E308" s="3" t="n"/>
      <c r="F308" s="3" t="n"/>
      <c r="G308" s="3" t="n"/>
      <c r="H308" s="3" t="n"/>
    </row>
    <row r="309">
      <c r="A309" s="3" t="n"/>
      <c r="B309" s="3" t="n"/>
      <c r="C309" s="3" t="n"/>
      <c r="D309" s="3" t="n"/>
      <c r="E309" s="3" t="n"/>
      <c r="F309" s="3" t="n"/>
      <c r="G309" s="3" t="n"/>
      <c r="H309" s="3" t="n"/>
    </row>
    <row r="310">
      <c r="A310" s="3" t="n"/>
      <c r="B310" s="3" t="n"/>
      <c r="C310" s="3" t="n"/>
      <c r="D310" s="3" t="n"/>
      <c r="E310" s="3" t="n"/>
      <c r="F310" s="3" t="n"/>
      <c r="G310" s="3" t="n"/>
      <c r="H310" s="3" t="n"/>
    </row>
    <row r="311">
      <c r="A311" s="3" t="n"/>
      <c r="B311" s="3" t="n"/>
      <c r="C311" s="3" t="n"/>
      <c r="D311" s="3" t="n"/>
      <c r="E311" s="3" t="n"/>
      <c r="F311" s="3" t="n"/>
      <c r="G311" s="3" t="n"/>
      <c r="H311" s="3" t="n"/>
    </row>
    <row r="312">
      <c r="A312" s="3" t="n"/>
      <c r="B312" s="3" t="n"/>
      <c r="C312" s="3" t="n"/>
      <c r="D312" s="3" t="n"/>
      <c r="E312" s="3" t="n"/>
      <c r="F312" s="3" t="n"/>
      <c r="G312" s="3" t="n"/>
      <c r="H312" s="3" t="n"/>
    </row>
    <row r="313">
      <c r="A313" s="3" t="n"/>
      <c r="B313" s="3" t="n"/>
      <c r="C313" s="3" t="n"/>
      <c r="D313" s="3" t="n"/>
      <c r="E313" s="3" t="n"/>
      <c r="F313" s="3" t="n"/>
      <c r="G313" s="3" t="n"/>
      <c r="H313" s="3" t="n"/>
    </row>
    <row r="314">
      <c r="A314" s="3" t="n"/>
      <c r="B314" s="3" t="n"/>
      <c r="C314" s="3" t="n"/>
      <c r="D314" s="3" t="n"/>
      <c r="E314" s="3" t="n"/>
      <c r="F314" s="3" t="n"/>
      <c r="G314" s="3" t="n"/>
      <c r="H314" s="3" t="n"/>
    </row>
    <row r="315">
      <c r="A315" s="3" t="n"/>
      <c r="B315" s="3" t="n"/>
      <c r="C315" s="3" t="n"/>
      <c r="D315" s="3" t="n"/>
      <c r="E315" s="3" t="n"/>
      <c r="F315" s="3" t="n"/>
      <c r="G315" s="3" t="n"/>
      <c r="H315" s="3" t="n"/>
    </row>
    <row r="316">
      <c r="A316" s="3" t="n"/>
      <c r="B316" s="3" t="n"/>
      <c r="C316" s="3" t="n"/>
      <c r="D316" s="3" t="n"/>
      <c r="E316" s="3" t="n"/>
      <c r="F316" s="3" t="n"/>
      <c r="G316" s="3" t="n"/>
      <c r="H316" s="3" t="n"/>
    </row>
    <row r="317">
      <c r="A317" s="3" t="n"/>
      <c r="B317" s="3" t="n"/>
      <c r="C317" s="3" t="n"/>
      <c r="D317" s="3" t="n"/>
      <c r="E317" s="3" t="n"/>
      <c r="F317" s="3" t="n"/>
      <c r="G317" s="3" t="n"/>
      <c r="H317" s="3" t="n"/>
    </row>
    <row r="318">
      <c r="A318" s="3" t="n"/>
      <c r="B318" s="3" t="n"/>
      <c r="C318" s="3" t="n"/>
      <c r="D318" s="3" t="n"/>
      <c r="E318" s="3" t="n"/>
      <c r="F318" s="3" t="n"/>
      <c r="G318" s="3" t="n"/>
      <c r="H318" s="3" t="n"/>
    </row>
    <row r="319">
      <c r="A319" s="3" t="n"/>
      <c r="B319" s="3" t="n"/>
      <c r="C319" s="3" t="n"/>
      <c r="D319" s="3" t="n"/>
      <c r="E319" s="3" t="n"/>
      <c r="F319" s="3" t="n"/>
      <c r="G319" s="3" t="n"/>
      <c r="H319" s="3" t="n"/>
    </row>
    <row r="320">
      <c r="A320" s="3" t="n"/>
      <c r="B320" s="3" t="n"/>
      <c r="C320" s="3" t="n"/>
      <c r="D320" s="3" t="n"/>
      <c r="E320" s="3" t="n"/>
      <c r="F320" s="3" t="n"/>
      <c r="G320" s="3" t="n"/>
      <c r="H320" s="3" t="n"/>
    </row>
    <row r="321">
      <c r="A321" s="3" t="n"/>
      <c r="B321" s="3" t="n"/>
      <c r="C321" s="3" t="n"/>
      <c r="D321" s="3" t="n"/>
      <c r="E321" s="3" t="n"/>
      <c r="F321" s="3" t="n"/>
      <c r="G321" s="3" t="n"/>
      <c r="H321" s="3" t="n"/>
    </row>
    <row r="322">
      <c r="A322" s="3" t="n"/>
      <c r="B322" s="3" t="n"/>
      <c r="C322" s="3" t="n"/>
      <c r="D322" s="3" t="n"/>
      <c r="E322" s="3" t="n"/>
      <c r="F322" s="3" t="n"/>
      <c r="G322" s="3" t="n"/>
      <c r="H322" s="3" t="n"/>
    </row>
    <row r="323">
      <c r="A323" s="3" t="n"/>
      <c r="B323" s="3" t="n"/>
      <c r="C323" s="3" t="n"/>
      <c r="D323" s="3" t="n"/>
      <c r="E323" s="3" t="n"/>
      <c r="F323" s="3" t="n"/>
      <c r="G323" s="3" t="n"/>
      <c r="H323" s="3" t="n"/>
    </row>
    <row r="324">
      <c r="A324" s="3" t="n"/>
      <c r="B324" s="3" t="n"/>
      <c r="C324" s="3" t="n"/>
      <c r="D324" s="3" t="n"/>
      <c r="E324" s="3" t="n"/>
      <c r="F324" s="3" t="n"/>
      <c r="G324" s="3" t="n"/>
      <c r="H324" s="3" t="n"/>
    </row>
    <row r="325">
      <c r="A325" s="3" t="n"/>
      <c r="B325" s="3" t="n"/>
      <c r="C325" s="3" t="n"/>
      <c r="D325" s="3" t="n"/>
      <c r="E325" s="3" t="n"/>
      <c r="F325" s="3" t="n"/>
      <c r="G325" s="3" t="n"/>
      <c r="H325" s="3" t="n"/>
    </row>
    <row r="326">
      <c r="A326" s="3" t="n"/>
      <c r="B326" s="3" t="n"/>
      <c r="C326" s="3" t="n"/>
      <c r="D326" s="3" t="n"/>
      <c r="E326" s="3" t="n"/>
      <c r="F326" s="3" t="n"/>
      <c r="G326" s="3" t="n"/>
      <c r="H326" s="3" t="n"/>
    </row>
    <row r="327">
      <c r="A327" s="3" t="n"/>
      <c r="B327" s="3" t="n"/>
      <c r="C327" s="3" t="n"/>
      <c r="D327" s="3" t="n"/>
      <c r="E327" s="3" t="n"/>
      <c r="F327" s="3" t="n"/>
      <c r="G327" s="3" t="n"/>
      <c r="H327" s="3" t="n"/>
    </row>
    <row r="328">
      <c r="A328" s="3" t="n"/>
      <c r="B328" s="3" t="n"/>
      <c r="C328" s="3" t="n"/>
      <c r="D328" s="3" t="n"/>
      <c r="E328" s="3" t="n"/>
      <c r="F328" s="3" t="n"/>
      <c r="G328" s="3" t="n"/>
      <c r="H328" s="3" t="n"/>
    </row>
    <row r="329">
      <c r="A329" s="3" t="n"/>
      <c r="B329" s="3" t="n"/>
      <c r="C329" s="3" t="n"/>
      <c r="D329" s="3" t="n"/>
      <c r="E329" s="3" t="n"/>
      <c r="F329" s="3" t="n"/>
      <c r="G329" s="3" t="n"/>
      <c r="H329" s="3" t="n"/>
    </row>
    <row r="330">
      <c r="A330" s="3" t="n"/>
      <c r="B330" s="3" t="n"/>
      <c r="C330" s="3" t="n"/>
      <c r="D330" s="3" t="n"/>
      <c r="E330" s="3" t="n"/>
      <c r="F330" s="3" t="n"/>
      <c r="G330" s="3" t="n"/>
      <c r="H330" s="3" t="n"/>
    </row>
    <row r="331">
      <c r="A331" s="3" t="n"/>
      <c r="B331" s="3" t="n"/>
      <c r="C331" s="3" t="n"/>
      <c r="D331" s="3" t="n"/>
      <c r="E331" s="3" t="n"/>
      <c r="F331" s="3" t="n"/>
      <c r="G331" s="3" t="n"/>
      <c r="H331" s="3" t="n"/>
    </row>
    <row r="332">
      <c r="A332" s="3" t="n"/>
      <c r="B332" s="3" t="n"/>
      <c r="C332" s="3" t="n"/>
      <c r="D332" s="3" t="n"/>
      <c r="E332" s="3" t="n"/>
      <c r="F332" s="3" t="n"/>
      <c r="G332" s="3" t="n"/>
      <c r="H332" s="3" t="n"/>
    </row>
    <row r="333">
      <c r="A333" s="3" t="n"/>
      <c r="B333" s="3" t="n"/>
      <c r="C333" s="3" t="n"/>
      <c r="D333" s="3" t="n"/>
      <c r="E333" s="3" t="n"/>
      <c r="F333" s="3" t="n"/>
      <c r="G333" s="3" t="n"/>
      <c r="H333" s="3" t="n"/>
    </row>
    <row r="334">
      <c r="A334" s="3" t="n"/>
      <c r="B334" s="3" t="n"/>
      <c r="C334" s="3" t="n"/>
      <c r="D334" s="3" t="n"/>
      <c r="E334" s="3" t="n"/>
      <c r="F334" s="3" t="n"/>
      <c r="G334" s="3" t="n"/>
      <c r="H334" s="3" t="n"/>
    </row>
    <row r="335">
      <c r="A335" s="3" t="n"/>
      <c r="B335" s="3" t="n"/>
      <c r="C335" s="3" t="n"/>
      <c r="D335" s="3" t="n"/>
      <c r="E335" s="3" t="n"/>
      <c r="F335" s="3" t="n"/>
      <c r="G335" s="3" t="n"/>
      <c r="H335" s="3" t="n"/>
    </row>
    <row r="336">
      <c r="A336" s="3" t="n"/>
      <c r="B336" s="3" t="n"/>
      <c r="C336" s="3" t="n"/>
      <c r="D336" s="3" t="n"/>
      <c r="E336" s="3" t="n"/>
      <c r="F336" s="3" t="n"/>
      <c r="G336" s="3" t="n"/>
      <c r="H336" s="3" t="n"/>
    </row>
    <row r="337">
      <c r="A337" s="3" t="n"/>
      <c r="B337" s="3" t="n"/>
      <c r="C337" s="3" t="n"/>
      <c r="D337" s="3" t="n"/>
      <c r="E337" s="3" t="n"/>
      <c r="F337" s="3" t="n"/>
      <c r="G337" s="3" t="n"/>
      <c r="H337" s="3" t="n"/>
    </row>
    <row r="338">
      <c r="A338" s="3" t="n"/>
      <c r="B338" s="3" t="n"/>
      <c r="C338" s="3" t="n"/>
      <c r="D338" s="3" t="n"/>
      <c r="E338" s="3" t="n"/>
      <c r="F338" s="3" t="n"/>
      <c r="G338" s="3" t="n"/>
      <c r="H338" s="3" t="n"/>
    </row>
    <row r="339">
      <c r="A339" s="3" t="n"/>
      <c r="B339" s="3" t="n"/>
      <c r="C339" s="3" t="n"/>
      <c r="D339" s="3" t="n"/>
      <c r="E339" s="3" t="n"/>
      <c r="F339" s="3" t="n"/>
      <c r="G339" s="3" t="n"/>
      <c r="H339" s="3" t="n"/>
    </row>
  </sheetData>
  <mergeCells count="17">
    <mergeCell ref="B19:G19"/>
    <mergeCell ref="B20:G20"/>
    <mergeCell ref="C12:G12"/>
    <mergeCell ref="B5:G5"/>
    <mergeCell ref="C10:G10"/>
    <mergeCell ref="G1:H1"/>
    <mergeCell ref="C16:G16"/>
    <mergeCell ref="C15:G15"/>
    <mergeCell ref="C11:G11"/>
    <mergeCell ref="B4:G4"/>
    <mergeCell ref="A1:B1"/>
    <mergeCell ref="C14:G14"/>
    <mergeCell ref="C13:G13"/>
    <mergeCell ref="C8:G8"/>
    <mergeCell ref="C9:G9"/>
    <mergeCell ref="C17:G17"/>
    <mergeCell ref="B6:G6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2026-08-27T21:07:26Z</dcterms:created>
  <dcterms:modified xsi:type="dcterms:W3CDTF">2026-08-27T21:07:27Z</dcterms:modified>
</cp:coreProperties>
</file>